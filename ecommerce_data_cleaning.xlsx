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queryTables/queryTable1.xml" ContentType="application/vnd.openxmlformats-officedocument.spreadsheetml.query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rank\Downloads\Excel projects\"/>
    </mc:Choice>
  </mc:AlternateContent>
  <xr:revisionPtr revIDLastSave="0" documentId="13_ncr:1_{0EA8ADF7-0B99-45CB-9B1F-DE27766B218E}" xr6:coauthVersionLast="47" xr6:coauthVersionMax="47" xr10:uidLastSave="{00000000-0000-0000-0000-000000000000}"/>
  <bookViews>
    <workbookView xWindow="-108" yWindow="-108" windowWidth="23256" windowHeight="12456" firstSheet="2" activeTab="4" xr2:uid="{002AB940-C1E9-4217-9FA5-9524495D5C79}"/>
  </bookViews>
  <sheets>
    <sheet name="01_Raw" sheetId="5" r:id="rId1"/>
    <sheet name="02_Audit" sheetId="2" r:id="rId2"/>
    <sheet name="99_Reference_Formulas" sheetId="3" r:id="rId3"/>
    <sheet name="03_Clean_Formulas." sheetId="6" r:id="rId4"/>
    <sheet name="05_Clean_PowerQuery" sheetId="8" r:id="rId5"/>
    <sheet name="04_Clean_Final" sheetId="7" r:id="rId6"/>
  </sheets>
  <definedNames>
    <definedName name="ExternalData_1" localSheetId="4" hidden="1">'05_Clean_PowerQuery'!$A$1:$M$101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" i="6" l="1"/>
  <c r="O4" i="6"/>
  <c r="O5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3" i="6"/>
  <c r="O34" i="6"/>
  <c r="O35" i="6"/>
  <c r="O36" i="6"/>
  <c r="O37" i="6"/>
  <c r="O38" i="6"/>
  <c r="O39" i="6"/>
  <c r="O40" i="6"/>
  <c r="O41" i="6"/>
  <c r="O42" i="6"/>
  <c r="R42" i="6" s="1"/>
  <c r="S42" i="6" s="1"/>
  <c r="O43" i="6"/>
  <c r="R43" i="6" s="1"/>
  <c r="S43" i="6" s="1"/>
  <c r="O44" i="6"/>
  <c r="R44" i="6" s="1"/>
  <c r="S44" i="6" s="1"/>
  <c r="O45" i="6"/>
  <c r="R45" i="6" s="1"/>
  <c r="S45" i="6" s="1"/>
  <c r="O46" i="6"/>
  <c r="R46" i="6" s="1"/>
  <c r="S46" i="6" s="1"/>
  <c r="O47" i="6"/>
  <c r="R47" i="6" s="1"/>
  <c r="S47" i="6" s="1"/>
  <c r="O48" i="6"/>
  <c r="R48" i="6" s="1"/>
  <c r="S48" i="6" s="1"/>
  <c r="O49" i="6"/>
  <c r="R49" i="6" s="1"/>
  <c r="S49" i="6" s="1"/>
  <c r="O50" i="6"/>
  <c r="R50" i="6" s="1"/>
  <c r="S50" i="6" s="1"/>
  <c r="O51" i="6"/>
  <c r="R51" i="6" s="1"/>
  <c r="S51" i="6" s="1"/>
  <c r="O52" i="6"/>
  <c r="R52" i="6" s="1"/>
  <c r="S52" i="6" s="1"/>
  <c r="O53" i="6"/>
  <c r="R53" i="6" s="1"/>
  <c r="S53" i="6" s="1"/>
  <c r="O54" i="6"/>
  <c r="R54" i="6" s="1"/>
  <c r="S54" i="6" s="1"/>
  <c r="O55" i="6"/>
  <c r="R55" i="6" s="1"/>
  <c r="S55" i="6" s="1"/>
  <c r="O56" i="6"/>
  <c r="R56" i="6" s="1"/>
  <c r="S56" i="6" s="1"/>
  <c r="O57" i="6"/>
  <c r="R57" i="6" s="1"/>
  <c r="S57" i="6" s="1"/>
  <c r="O58" i="6"/>
  <c r="R58" i="6" s="1"/>
  <c r="S58" i="6" s="1"/>
  <c r="O59" i="6"/>
  <c r="R59" i="6" s="1"/>
  <c r="S59" i="6" s="1"/>
  <c r="O60" i="6"/>
  <c r="R60" i="6" s="1"/>
  <c r="S60" i="6" s="1"/>
  <c r="O61" i="6"/>
  <c r="R61" i="6" s="1"/>
  <c r="S61" i="6" s="1"/>
  <c r="O62" i="6"/>
  <c r="R62" i="6" s="1"/>
  <c r="S62" i="6" s="1"/>
  <c r="O63" i="6"/>
  <c r="R63" i="6" s="1"/>
  <c r="S63" i="6" s="1"/>
  <c r="O64" i="6"/>
  <c r="R64" i="6" s="1"/>
  <c r="S64" i="6" s="1"/>
  <c r="O65" i="6"/>
  <c r="R65" i="6" s="1"/>
  <c r="S65" i="6" s="1"/>
  <c r="O66" i="6"/>
  <c r="R66" i="6" s="1"/>
  <c r="S66" i="6" s="1"/>
  <c r="O67" i="6"/>
  <c r="R67" i="6" s="1"/>
  <c r="S67" i="6" s="1"/>
  <c r="O68" i="6"/>
  <c r="R68" i="6" s="1"/>
  <c r="S68" i="6" s="1"/>
  <c r="O69" i="6"/>
  <c r="R69" i="6" s="1"/>
  <c r="S69" i="6" s="1"/>
  <c r="O70" i="6"/>
  <c r="R70" i="6" s="1"/>
  <c r="S70" i="6" s="1"/>
  <c r="O71" i="6"/>
  <c r="R71" i="6" s="1"/>
  <c r="S71" i="6" s="1"/>
  <c r="O72" i="6"/>
  <c r="R72" i="6" s="1"/>
  <c r="S72" i="6" s="1"/>
  <c r="O73" i="6"/>
  <c r="R73" i="6" s="1"/>
  <c r="S73" i="6" s="1"/>
  <c r="O74" i="6"/>
  <c r="R74" i="6" s="1"/>
  <c r="S74" i="6" s="1"/>
  <c r="O75" i="6"/>
  <c r="R75" i="6" s="1"/>
  <c r="S75" i="6" s="1"/>
  <c r="O76" i="6"/>
  <c r="R76" i="6" s="1"/>
  <c r="S76" i="6" s="1"/>
  <c r="O77" i="6"/>
  <c r="R77" i="6" s="1"/>
  <c r="S77" i="6" s="1"/>
  <c r="O78" i="6"/>
  <c r="R78" i="6" s="1"/>
  <c r="S78" i="6" s="1"/>
  <c r="O79" i="6"/>
  <c r="R79" i="6" s="1"/>
  <c r="S79" i="6" s="1"/>
  <c r="O80" i="6"/>
  <c r="R80" i="6" s="1"/>
  <c r="S80" i="6" s="1"/>
  <c r="O81" i="6"/>
  <c r="R81" i="6" s="1"/>
  <c r="S81" i="6" s="1"/>
  <c r="O82" i="6"/>
  <c r="R82" i="6" s="1"/>
  <c r="S82" i="6" s="1"/>
  <c r="O83" i="6"/>
  <c r="R83" i="6" s="1"/>
  <c r="S83" i="6" s="1"/>
  <c r="O84" i="6"/>
  <c r="R84" i="6" s="1"/>
  <c r="S84" i="6" s="1"/>
  <c r="O85" i="6"/>
  <c r="R85" i="6" s="1"/>
  <c r="S85" i="6" s="1"/>
  <c r="O86" i="6"/>
  <c r="R86" i="6" s="1"/>
  <c r="S86" i="6" s="1"/>
  <c r="O87" i="6"/>
  <c r="R87" i="6" s="1"/>
  <c r="S87" i="6" s="1"/>
  <c r="O88" i="6"/>
  <c r="R88" i="6" s="1"/>
  <c r="S88" i="6" s="1"/>
  <c r="O89" i="6"/>
  <c r="R89" i="6" s="1"/>
  <c r="S89" i="6" s="1"/>
  <c r="O90" i="6"/>
  <c r="R90" i="6" s="1"/>
  <c r="S90" i="6" s="1"/>
  <c r="O91" i="6"/>
  <c r="R91" i="6" s="1"/>
  <c r="S91" i="6" s="1"/>
  <c r="O92" i="6"/>
  <c r="R92" i="6" s="1"/>
  <c r="S92" i="6" s="1"/>
  <c r="O93" i="6"/>
  <c r="R93" i="6" s="1"/>
  <c r="S93" i="6" s="1"/>
  <c r="O94" i="6"/>
  <c r="R94" i="6" s="1"/>
  <c r="S94" i="6" s="1"/>
  <c r="O95" i="6"/>
  <c r="R95" i="6" s="1"/>
  <c r="S95" i="6" s="1"/>
  <c r="O96" i="6"/>
  <c r="R96" i="6" s="1"/>
  <c r="S96" i="6" s="1"/>
  <c r="O97" i="6"/>
  <c r="R97" i="6" s="1"/>
  <c r="S97" i="6" s="1"/>
  <c r="O98" i="6"/>
  <c r="R98" i="6" s="1"/>
  <c r="S98" i="6" s="1"/>
  <c r="O99" i="6"/>
  <c r="R99" i="6" s="1"/>
  <c r="S99" i="6" s="1"/>
  <c r="O100" i="6"/>
  <c r="R100" i="6" s="1"/>
  <c r="S100" i="6" s="1"/>
  <c r="O101" i="6"/>
  <c r="R101" i="6" s="1"/>
  <c r="S101" i="6" s="1"/>
  <c r="O2" i="6"/>
  <c r="R2" i="6" s="1"/>
  <c r="S2" i="6" s="1"/>
  <c r="M3" i="6"/>
  <c r="M4" i="6"/>
  <c r="M5" i="6"/>
  <c r="M6" i="6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2" i="6"/>
  <c r="R3" i="6"/>
  <c r="S3" i="6" s="1"/>
  <c r="R4" i="6"/>
  <c r="S4" i="6" s="1"/>
  <c r="R5" i="6"/>
  <c r="S5" i="6" s="1"/>
  <c r="R6" i="6"/>
  <c r="S6" i="6" s="1"/>
  <c r="R7" i="6"/>
  <c r="S7" i="6" s="1"/>
  <c r="R8" i="6"/>
  <c r="S8" i="6" s="1"/>
  <c r="R9" i="6"/>
  <c r="S9" i="6" s="1"/>
  <c r="R10" i="6"/>
  <c r="S10" i="6" s="1"/>
  <c r="R11" i="6"/>
  <c r="S11" i="6" s="1"/>
  <c r="R12" i="6"/>
  <c r="S12" i="6" s="1"/>
  <c r="R13" i="6"/>
  <c r="S13" i="6" s="1"/>
  <c r="R14" i="6"/>
  <c r="S14" i="6" s="1"/>
  <c r="R15" i="6"/>
  <c r="S15" i="6" s="1"/>
  <c r="R16" i="6"/>
  <c r="S16" i="6" s="1"/>
  <c r="R17" i="6"/>
  <c r="S17" i="6" s="1"/>
  <c r="R18" i="6"/>
  <c r="S18" i="6" s="1"/>
  <c r="R19" i="6"/>
  <c r="S19" i="6" s="1"/>
  <c r="R20" i="6"/>
  <c r="S20" i="6" s="1"/>
  <c r="R21" i="6"/>
  <c r="S21" i="6" s="1"/>
  <c r="R22" i="6"/>
  <c r="S22" i="6" s="1"/>
  <c r="R23" i="6"/>
  <c r="S23" i="6" s="1"/>
  <c r="R24" i="6"/>
  <c r="S24" i="6" s="1"/>
  <c r="R25" i="6"/>
  <c r="S25" i="6" s="1"/>
  <c r="R26" i="6"/>
  <c r="S26" i="6" s="1"/>
  <c r="R27" i="6"/>
  <c r="S27" i="6" s="1"/>
  <c r="R28" i="6"/>
  <c r="S28" i="6" s="1"/>
  <c r="R29" i="6"/>
  <c r="S29" i="6" s="1"/>
  <c r="R30" i="6"/>
  <c r="S30" i="6" s="1"/>
  <c r="R31" i="6"/>
  <c r="S31" i="6" s="1"/>
  <c r="R32" i="6"/>
  <c r="S32" i="6" s="1"/>
  <c r="R33" i="6"/>
  <c r="S33" i="6" s="1"/>
  <c r="R34" i="6"/>
  <c r="S34" i="6" s="1"/>
  <c r="R35" i="6"/>
  <c r="S35" i="6" s="1"/>
  <c r="R36" i="6"/>
  <c r="S36" i="6" s="1"/>
  <c r="R37" i="6"/>
  <c r="S37" i="6" s="1"/>
  <c r="R38" i="6"/>
  <c r="S38" i="6" s="1"/>
  <c r="R39" i="6"/>
  <c r="S39" i="6" s="1"/>
  <c r="R40" i="6"/>
  <c r="S40" i="6" s="1"/>
  <c r="R41" i="6"/>
  <c r="S41" i="6" s="1"/>
  <c r="Q3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3" i="6"/>
  <c r="Q34" i="6"/>
  <c r="Q35" i="6"/>
  <c r="Q36" i="6"/>
  <c r="Q37" i="6"/>
  <c r="Q38" i="6"/>
  <c r="Q39" i="6"/>
  <c r="Q40" i="6"/>
  <c r="Q41" i="6"/>
  <c r="Q42" i="6"/>
  <c r="Q43" i="6"/>
  <c r="Q44" i="6"/>
  <c r="Q45" i="6"/>
  <c r="Q46" i="6"/>
  <c r="Q47" i="6"/>
  <c r="Q48" i="6"/>
  <c r="Q49" i="6"/>
  <c r="Q50" i="6"/>
  <c r="Q51" i="6"/>
  <c r="Q52" i="6"/>
  <c r="Q53" i="6"/>
  <c r="Q54" i="6"/>
  <c r="Q55" i="6"/>
  <c r="Q56" i="6"/>
  <c r="Q57" i="6"/>
  <c r="Q58" i="6"/>
  <c r="Q59" i="6"/>
  <c r="Q60" i="6"/>
  <c r="Q61" i="6"/>
  <c r="Q62" i="6"/>
  <c r="Q63" i="6"/>
  <c r="Q64" i="6"/>
  <c r="Q65" i="6"/>
  <c r="Q66" i="6"/>
  <c r="Q67" i="6"/>
  <c r="Q68" i="6"/>
  <c r="Q69" i="6"/>
  <c r="Q70" i="6"/>
  <c r="Q71" i="6"/>
  <c r="Q72" i="6"/>
  <c r="Q73" i="6"/>
  <c r="Q74" i="6"/>
  <c r="Q75" i="6"/>
  <c r="Q76" i="6"/>
  <c r="Q77" i="6"/>
  <c r="Q78" i="6"/>
  <c r="Q79" i="6"/>
  <c r="Q80" i="6"/>
  <c r="Q81" i="6"/>
  <c r="Q82" i="6"/>
  <c r="Q83" i="6"/>
  <c r="Q84" i="6"/>
  <c r="Q85" i="6"/>
  <c r="Q86" i="6"/>
  <c r="Q87" i="6"/>
  <c r="Q88" i="6"/>
  <c r="Q89" i="6"/>
  <c r="Q90" i="6"/>
  <c r="Q91" i="6"/>
  <c r="Q92" i="6"/>
  <c r="Q93" i="6"/>
  <c r="Q94" i="6"/>
  <c r="Q95" i="6"/>
  <c r="Q96" i="6"/>
  <c r="Q97" i="6"/>
  <c r="Q98" i="6"/>
  <c r="Q99" i="6"/>
  <c r="Q100" i="6"/>
  <c r="Q101" i="6"/>
  <c r="Q2" i="6"/>
  <c r="P3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3" i="6"/>
  <c r="P34" i="6"/>
  <c r="P35" i="6"/>
  <c r="P36" i="6"/>
  <c r="P37" i="6"/>
  <c r="P38" i="6"/>
  <c r="P39" i="6"/>
  <c r="P40" i="6"/>
  <c r="P41" i="6"/>
  <c r="P42" i="6"/>
  <c r="P43" i="6"/>
  <c r="P44" i="6"/>
  <c r="P45" i="6"/>
  <c r="P46" i="6"/>
  <c r="P47" i="6"/>
  <c r="P48" i="6"/>
  <c r="P49" i="6"/>
  <c r="P50" i="6"/>
  <c r="P51" i="6"/>
  <c r="P52" i="6"/>
  <c r="P53" i="6"/>
  <c r="P54" i="6"/>
  <c r="P55" i="6"/>
  <c r="P56" i="6"/>
  <c r="P57" i="6"/>
  <c r="P58" i="6"/>
  <c r="P59" i="6"/>
  <c r="P60" i="6"/>
  <c r="P61" i="6"/>
  <c r="P62" i="6"/>
  <c r="P63" i="6"/>
  <c r="P64" i="6"/>
  <c r="P65" i="6"/>
  <c r="P66" i="6"/>
  <c r="P67" i="6"/>
  <c r="P68" i="6"/>
  <c r="P69" i="6"/>
  <c r="P70" i="6"/>
  <c r="P71" i="6"/>
  <c r="P72" i="6"/>
  <c r="P73" i="6"/>
  <c r="P74" i="6"/>
  <c r="P75" i="6"/>
  <c r="P76" i="6"/>
  <c r="P77" i="6"/>
  <c r="P78" i="6"/>
  <c r="P79" i="6"/>
  <c r="P80" i="6"/>
  <c r="P81" i="6"/>
  <c r="P82" i="6"/>
  <c r="P83" i="6"/>
  <c r="P84" i="6"/>
  <c r="P85" i="6"/>
  <c r="P86" i="6"/>
  <c r="P87" i="6"/>
  <c r="P88" i="6"/>
  <c r="P89" i="6"/>
  <c r="P90" i="6"/>
  <c r="P91" i="6"/>
  <c r="P92" i="6"/>
  <c r="P93" i="6"/>
  <c r="P94" i="6"/>
  <c r="P95" i="6"/>
  <c r="P96" i="6"/>
  <c r="P97" i="6"/>
  <c r="P98" i="6"/>
  <c r="P99" i="6"/>
  <c r="P100" i="6"/>
  <c r="P101" i="6"/>
  <c r="P2" i="6"/>
  <c r="AJ2" i="3"/>
  <c r="AJ3" i="3"/>
  <c r="AJ4" i="3"/>
  <c r="AJ5" i="3"/>
  <c r="AJ6" i="3"/>
  <c r="AJ7" i="3"/>
  <c r="AJ8" i="3"/>
  <c r="AJ9" i="3"/>
  <c r="AJ10" i="3"/>
  <c r="AJ11" i="3"/>
  <c r="AJ12" i="3"/>
  <c r="AJ13" i="3"/>
  <c r="AJ14" i="3"/>
  <c r="AJ15" i="3"/>
  <c r="AJ16" i="3"/>
  <c r="AJ17" i="3"/>
  <c r="AJ18" i="3"/>
  <c r="AJ19" i="3"/>
  <c r="AJ20" i="3"/>
  <c r="AJ21" i="3"/>
  <c r="AJ22" i="3"/>
  <c r="AJ23" i="3"/>
  <c r="AJ24" i="3"/>
  <c r="AJ25" i="3"/>
  <c r="AJ26" i="3"/>
  <c r="AJ27" i="3"/>
  <c r="AJ28" i="3"/>
  <c r="AJ29" i="3"/>
  <c r="AJ30" i="3"/>
  <c r="AJ31" i="3"/>
  <c r="AJ32" i="3"/>
  <c r="AJ33" i="3"/>
  <c r="AJ34" i="3"/>
  <c r="AJ35" i="3"/>
  <c r="AJ36" i="3"/>
  <c r="AJ37" i="3"/>
  <c r="AJ38" i="3"/>
  <c r="AJ39" i="3"/>
  <c r="AJ40" i="3"/>
  <c r="AJ41" i="3"/>
  <c r="AJ42" i="3"/>
  <c r="AJ43" i="3"/>
  <c r="AJ44" i="3"/>
  <c r="AJ45" i="3"/>
  <c r="AJ46" i="3"/>
  <c r="AJ47" i="3"/>
  <c r="AJ48" i="3"/>
  <c r="AJ49" i="3"/>
  <c r="AJ50" i="3"/>
  <c r="AJ51" i="3"/>
  <c r="AJ52" i="3"/>
  <c r="AJ53" i="3"/>
  <c r="AJ54" i="3"/>
  <c r="AJ55" i="3"/>
  <c r="AJ56" i="3"/>
  <c r="AJ57" i="3"/>
  <c r="AJ58" i="3"/>
  <c r="AJ59" i="3"/>
  <c r="AJ60" i="3"/>
  <c r="AJ61" i="3"/>
  <c r="AJ62" i="3"/>
  <c r="AJ63" i="3"/>
  <c r="AJ64" i="3"/>
  <c r="AJ65" i="3"/>
  <c r="AJ66" i="3"/>
  <c r="AJ67" i="3"/>
  <c r="AJ68" i="3"/>
  <c r="AJ69" i="3"/>
  <c r="AJ70" i="3"/>
  <c r="AJ71" i="3"/>
  <c r="AJ72" i="3"/>
  <c r="AJ73" i="3"/>
  <c r="AJ74" i="3"/>
  <c r="AJ75" i="3"/>
  <c r="AJ76" i="3"/>
  <c r="AJ77" i="3"/>
  <c r="AJ78" i="3"/>
  <c r="AJ79" i="3"/>
  <c r="AJ80" i="3"/>
  <c r="AJ81" i="3"/>
  <c r="AJ82" i="3"/>
  <c r="AJ83" i="3"/>
  <c r="AJ84" i="3"/>
  <c r="AJ85" i="3"/>
  <c r="AJ86" i="3"/>
  <c r="AJ87" i="3"/>
  <c r="AJ88" i="3"/>
  <c r="AJ89" i="3"/>
  <c r="AJ90" i="3"/>
  <c r="AJ91" i="3"/>
  <c r="AJ92" i="3"/>
  <c r="AJ93" i="3"/>
  <c r="AJ94" i="3"/>
  <c r="AJ95" i="3"/>
  <c r="AJ96" i="3"/>
  <c r="AJ97" i="3"/>
  <c r="AJ98" i="3"/>
  <c r="AJ99" i="3"/>
  <c r="AJ100" i="3"/>
  <c r="AJ101" i="3"/>
  <c r="AJ102" i="3"/>
  <c r="AJ1" i="3"/>
  <c r="AG1" i="3"/>
  <c r="AG2" i="3"/>
  <c r="AK2" i="3"/>
  <c r="AK3" i="3"/>
  <c r="AK4" i="3"/>
  <c r="AK5" i="3"/>
  <c r="AK6" i="3"/>
  <c r="AK7" i="3"/>
  <c r="AK8" i="3"/>
  <c r="AK9" i="3"/>
  <c r="AK10" i="3"/>
  <c r="AK11" i="3"/>
  <c r="AK12" i="3"/>
  <c r="AK13" i="3"/>
  <c r="AK14" i="3"/>
  <c r="AK15" i="3"/>
  <c r="AK16" i="3"/>
  <c r="AK17" i="3"/>
  <c r="AK18" i="3"/>
  <c r="AK19" i="3"/>
  <c r="AK20" i="3"/>
  <c r="AK21" i="3"/>
  <c r="AK22" i="3"/>
  <c r="AK23" i="3"/>
  <c r="AK24" i="3"/>
  <c r="AK25" i="3"/>
  <c r="AK26" i="3"/>
  <c r="AK27" i="3"/>
  <c r="AK28" i="3"/>
  <c r="AK29" i="3"/>
  <c r="AK30" i="3"/>
  <c r="AK31" i="3"/>
  <c r="AK32" i="3"/>
  <c r="AK33" i="3"/>
  <c r="AK34" i="3"/>
  <c r="AK35" i="3"/>
  <c r="AK36" i="3"/>
  <c r="AK37" i="3"/>
  <c r="AK38" i="3"/>
  <c r="AK39" i="3"/>
  <c r="AK40" i="3"/>
  <c r="AK41" i="3"/>
  <c r="AK42" i="3"/>
  <c r="AK43" i="3"/>
  <c r="AK44" i="3"/>
  <c r="AK45" i="3"/>
  <c r="AK46" i="3"/>
  <c r="AK47" i="3"/>
  <c r="AK48" i="3"/>
  <c r="AK49" i="3"/>
  <c r="AK50" i="3"/>
  <c r="AK51" i="3"/>
  <c r="AK52" i="3"/>
  <c r="AK53" i="3"/>
  <c r="AK54" i="3"/>
  <c r="AK55" i="3"/>
  <c r="AK56" i="3"/>
  <c r="AK57" i="3"/>
  <c r="AK58" i="3"/>
  <c r="AK59" i="3"/>
  <c r="AK60" i="3"/>
  <c r="AK61" i="3"/>
  <c r="AK62" i="3"/>
  <c r="AK63" i="3"/>
  <c r="AK64" i="3"/>
  <c r="AK65" i="3"/>
  <c r="AK66" i="3"/>
  <c r="AK67" i="3"/>
  <c r="AK68" i="3"/>
  <c r="AK69" i="3"/>
  <c r="AK70" i="3"/>
  <c r="AK71" i="3"/>
  <c r="AK72" i="3"/>
  <c r="AK73" i="3"/>
  <c r="AK74" i="3"/>
  <c r="AK75" i="3"/>
  <c r="AK76" i="3"/>
  <c r="AK77" i="3"/>
  <c r="AK78" i="3"/>
  <c r="AK79" i="3"/>
  <c r="AK80" i="3"/>
  <c r="AK81" i="3"/>
  <c r="AK82" i="3"/>
  <c r="AK83" i="3"/>
  <c r="AK84" i="3"/>
  <c r="AK85" i="3"/>
  <c r="AK86" i="3"/>
  <c r="AK87" i="3"/>
  <c r="AK88" i="3"/>
  <c r="AK89" i="3"/>
  <c r="AK90" i="3"/>
  <c r="AK91" i="3"/>
  <c r="AK92" i="3"/>
  <c r="AK93" i="3"/>
  <c r="AK94" i="3"/>
  <c r="AK95" i="3"/>
  <c r="AK96" i="3"/>
  <c r="AK97" i="3"/>
  <c r="AK98" i="3"/>
  <c r="AK99" i="3"/>
  <c r="AK100" i="3"/>
  <c r="AK101" i="3"/>
  <c r="AK102" i="3"/>
  <c r="AK1" i="3"/>
  <c r="AH2" i="3"/>
  <c r="AH3" i="3"/>
  <c r="AH4" i="3"/>
  <c r="AH5" i="3"/>
  <c r="AH6" i="3"/>
  <c r="AH7" i="3"/>
  <c r="AH8" i="3"/>
  <c r="AH9" i="3"/>
  <c r="AH10" i="3"/>
  <c r="AH11" i="3"/>
  <c r="AH12" i="3"/>
  <c r="AH13" i="3"/>
  <c r="AH14" i="3"/>
  <c r="AH15" i="3"/>
  <c r="AH16" i="3"/>
  <c r="AH17" i="3"/>
  <c r="AH18" i="3"/>
  <c r="AH19" i="3"/>
  <c r="AH20" i="3"/>
  <c r="AH21" i="3"/>
  <c r="AH22" i="3"/>
  <c r="AH23" i="3"/>
  <c r="AH24" i="3"/>
  <c r="AH25" i="3"/>
  <c r="AH26" i="3"/>
  <c r="AH27" i="3"/>
  <c r="AH28" i="3"/>
  <c r="AH29" i="3"/>
  <c r="AH30" i="3"/>
  <c r="AH31" i="3"/>
  <c r="AH32" i="3"/>
  <c r="AH33" i="3"/>
  <c r="AH34" i="3"/>
  <c r="AH35" i="3"/>
  <c r="AH36" i="3"/>
  <c r="AH37" i="3"/>
  <c r="AH38" i="3"/>
  <c r="AH39" i="3"/>
  <c r="AH40" i="3"/>
  <c r="AH41" i="3"/>
  <c r="AH42" i="3"/>
  <c r="AH43" i="3"/>
  <c r="AH44" i="3"/>
  <c r="AH45" i="3"/>
  <c r="AH46" i="3"/>
  <c r="AH47" i="3"/>
  <c r="AH48" i="3"/>
  <c r="AH49" i="3"/>
  <c r="AH50" i="3"/>
  <c r="AH51" i="3"/>
  <c r="AH52" i="3"/>
  <c r="AH53" i="3"/>
  <c r="AH54" i="3"/>
  <c r="AH55" i="3"/>
  <c r="AH56" i="3"/>
  <c r="AH57" i="3"/>
  <c r="AH58" i="3"/>
  <c r="AH59" i="3"/>
  <c r="AH60" i="3"/>
  <c r="AH61" i="3"/>
  <c r="AH62" i="3"/>
  <c r="AH63" i="3"/>
  <c r="AH64" i="3"/>
  <c r="AH65" i="3"/>
  <c r="AH66" i="3"/>
  <c r="AH67" i="3"/>
  <c r="AH68" i="3"/>
  <c r="AH69" i="3"/>
  <c r="AH70" i="3"/>
  <c r="AH71" i="3"/>
  <c r="AH72" i="3"/>
  <c r="AH73" i="3"/>
  <c r="AH74" i="3"/>
  <c r="AH75" i="3"/>
  <c r="AH76" i="3"/>
  <c r="AH77" i="3"/>
  <c r="AH78" i="3"/>
  <c r="AH79" i="3"/>
  <c r="AH80" i="3"/>
  <c r="AH81" i="3"/>
  <c r="AH82" i="3"/>
  <c r="AH83" i="3"/>
  <c r="AH84" i="3"/>
  <c r="AH85" i="3"/>
  <c r="AH86" i="3"/>
  <c r="AH87" i="3"/>
  <c r="AH88" i="3"/>
  <c r="AH89" i="3"/>
  <c r="AH90" i="3"/>
  <c r="AH91" i="3"/>
  <c r="AH92" i="3"/>
  <c r="AH93" i="3"/>
  <c r="AH94" i="3"/>
  <c r="AH95" i="3"/>
  <c r="AH96" i="3"/>
  <c r="AH97" i="3"/>
  <c r="AH98" i="3"/>
  <c r="AH99" i="3"/>
  <c r="AH100" i="3"/>
  <c r="AH101" i="3"/>
  <c r="AH102" i="3"/>
  <c r="AH1" i="3"/>
  <c r="AG3" i="3"/>
  <c r="AG4" i="3"/>
  <c r="AG5" i="3"/>
  <c r="AG6" i="3"/>
  <c r="AG7" i="3"/>
  <c r="AG8" i="3"/>
  <c r="AG9" i="3"/>
  <c r="AG10" i="3"/>
  <c r="AG11" i="3"/>
  <c r="AG12" i="3"/>
  <c r="AG13" i="3"/>
  <c r="AG14" i="3"/>
  <c r="AG15" i="3"/>
  <c r="AG16" i="3"/>
  <c r="AG17" i="3"/>
  <c r="AG18" i="3"/>
  <c r="AG19" i="3"/>
  <c r="AG20" i="3"/>
  <c r="AG21" i="3"/>
  <c r="AG22" i="3"/>
  <c r="AG23" i="3"/>
  <c r="AG24" i="3"/>
  <c r="AG25" i="3"/>
  <c r="AG26" i="3"/>
  <c r="AG27" i="3"/>
  <c r="AG28" i="3"/>
  <c r="AG29" i="3"/>
  <c r="AG30" i="3"/>
  <c r="AG31" i="3"/>
  <c r="AG32" i="3"/>
  <c r="AG33" i="3"/>
  <c r="AG34" i="3"/>
  <c r="AG35" i="3"/>
  <c r="AG36" i="3"/>
  <c r="AG37" i="3"/>
  <c r="AG38" i="3"/>
  <c r="AG39" i="3"/>
  <c r="AG40" i="3"/>
  <c r="AG41" i="3"/>
  <c r="AG42" i="3"/>
  <c r="AG43" i="3"/>
  <c r="AG44" i="3"/>
  <c r="AG45" i="3"/>
  <c r="AG46" i="3"/>
  <c r="AG47" i="3"/>
  <c r="AG48" i="3"/>
  <c r="AG49" i="3"/>
  <c r="AG50" i="3"/>
  <c r="AG51" i="3"/>
  <c r="AG52" i="3"/>
  <c r="AG53" i="3"/>
  <c r="AG54" i="3"/>
  <c r="AG55" i="3"/>
  <c r="AG56" i="3"/>
  <c r="AG57" i="3"/>
  <c r="AG58" i="3"/>
  <c r="AG59" i="3"/>
  <c r="AG60" i="3"/>
  <c r="AG61" i="3"/>
  <c r="AG62" i="3"/>
  <c r="AG63" i="3"/>
  <c r="AG64" i="3"/>
  <c r="AG65" i="3"/>
  <c r="AG66" i="3"/>
  <c r="AG67" i="3"/>
  <c r="AG68" i="3"/>
  <c r="AG69" i="3"/>
  <c r="AG70" i="3"/>
  <c r="AG71" i="3"/>
  <c r="AG72" i="3"/>
  <c r="AG73" i="3"/>
  <c r="AG74" i="3"/>
  <c r="AG75" i="3"/>
  <c r="AG76" i="3"/>
  <c r="AG77" i="3"/>
  <c r="AG78" i="3"/>
  <c r="AG79" i="3"/>
  <c r="AG80" i="3"/>
  <c r="AG81" i="3"/>
  <c r="AG82" i="3"/>
  <c r="AG83" i="3"/>
  <c r="AG84" i="3"/>
  <c r="AG85" i="3"/>
  <c r="AG86" i="3"/>
  <c r="AG87" i="3"/>
  <c r="AG88" i="3"/>
  <c r="AG89" i="3"/>
  <c r="AG90" i="3"/>
  <c r="AG91" i="3"/>
  <c r="AG92" i="3"/>
  <c r="AG93" i="3"/>
  <c r="AG94" i="3"/>
  <c r="AG95" i="3"/>
  <c r="AG96" i="3"/>
  <c r="AG97" i="3"/>
  <c r="AG98" i="3"/>
  <c r="AG99" i="3"/>
  <c r="AG100" i="3"/>
  <c r="AG101" i="3"/>
  <c r="AG102" i="3"/>
  <c r="A102" i="3"/>
  <c r="B102" i="3"/>
  <c r="E102" i="3"/>
  <c r="F102" i="3"/>
  <c r="I102" i="3"/>
  <c r="J102" i="3"/>
  <c r="N102" i="3"/>
  <c r="P102" i="3"/>
  <c r="Q102" i="3"/>
  <c r="R102" i="3"/>
  <c r="S102" i="3"/>
  <c r="U102" i="3"/>
  <c r="V102" i="3"/>
  <c r="X102" i="3"/>
  <c r="Y102" i="3"/>
  <c r="AA102" i="3"/>
  <c r="AE102" i="3"/>
  <c r="D103" i="3"/>
  <c r="A48" i="3"/>
  <c r="B48" i="3"/>
  <c r="E48" i="3"/>
  <c r="F48" i="3"/>
  <c r="I48" i="3"/>
  <c r="J48" i="3"/>
  <c r="N48" i="3"/>
  <c r="P48" i="3"/>
  <c r="Q48" i="3"/>
  <c r="R48" i="3"/>
  <c r="S48" i="3"/>
  <c r="U48" i="3"/>
  <c r="V48" i="3"/>
  <c r="X48" i="3"/>
  <c r="Y48" i="3"/>
  <c r="AA48" i="3"/>
  <c r="AE48" i="3"/>
  <c r="D49" i="3"/>
  <c r="N2" i="3"/>
  <c r="N3" i="3"/>
  <c r="N4" i="3"/>
  <c r="N5" i="3"/>
  <c r="N6" i="3"/>
  <c r="N7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N30" i="3"/>
  <c r="N31" i="3"/>
  <c r="N32" i="3"/>
  <c r="N33" i="3"/>
  <c r="N34" i="3"/>
  <c r="N35" i="3"/>
  <c r="N36" i="3"/>
  <c r="N37" i="3"/>
  <c r="N38" i="3"/>
  <c r="N39" i="3"/>
  <c r="N40" i="3"/>
  <c r="N41" i="3"/>
  <c r="N42" i="3"/>
  <c r="N43" i="3"/>
  <c r="N44" i="3"/>
  <c r="N45" i="3"/>
  <c r="N46" i="3"/>
  <c r="N47" i="3"/>
  <c r="N49" i="3"/>
  <c r="N50" i="3"/>
  <c r="N51" i="3"/>
  <c r="N52" i="3"/>
  <c r="N53" i="3"/>
  <c r="N54" i="3"/>
  <c r="N55" i="3"/>
  <c r="N56" i="3"/>
  <c r="N57" i="3"/>
  <c r="N58" i="3"/>
  <c r="N59" i="3"/>
  <c r="N60" i="3"/>
  <c r="N61" i="3"/>
  <c r="N62" i="3"/>
  <c r="N63" i="3"/>
  <c r="N64" i="3"/>
  <c r="N65" i="3"/>
  <c r="N66" i="3"/>
  <c r="N67" i="3"/>
  <c r="N68" i="3"/>
  <c r="N69" i="3"/>
  <c r="N70" i="3"/>
  <c r="N71" i="3"/>
  <c r="N72" i="3"/>
  <c r="N73" i="3"/>
  <c r="N74" i="3"/>
  <c r="N75" i="3"/>
  <c r="N76" i="3"/>
  <c r="N77" i="3"/>
  <c r="N78" i="3"/>
  <c r="N79" i="3"/>
  <c r="N80" i="3"/>
  <c r="N81" i="3"/>
  <c r="N82" i="3"/>
  <c r="N83" i="3"/>
  <c r="N84" i="3"/>
  <c r="N85" i="3"/>
  <c r="N86" i="3"/>
  <c r="N87" i="3"/>
  <c r="N88" i="3"/>
  <c r="N89" i="3"/>
  <c r="N90" i="3"/>
  <c r="N91" i="3"/>
  <c r="N92" i="3"/>
  <c r="N93" i="3"/>
  <c r="N94" i="3"/>
  <c r="N95" i="3"/>
  <c r="N96" i="3"/>
  <c r="N97" i="3"/>
  <c r="N98" i="3"/>
  <c r="N99" i="3"/>
  <c r="N100" i="3"/>
  <c r="N101" i="3"/>
  <c r="N103" i="3"/>
  <c r="P2" i="3"/>
  <c r="S2" i="3" s="1"/>
  <c r="P3" i="3"/>
  <c r="S3" i="3" s="1"/>
  <c r="P4" i="3"/>
  <c r="S4" i="3" s="1"/>
  <c r="P5" i="3"/>
  <c r="S5" i="3" s="1"/>
  <c r="P6" i="3"/>
  <c r="S6" i="3" s="1"/>
  <c r="P7" i="3"/>
  <c r="S7" i="3" s="1"/>
  <c r="P8" i="3"/>
  <c r="S8" i="3" s="1"/>
  <c r="P9" i="3"/>
  <c r="S9" i="3" s="1"/>
  <c r="P10" i="3"/>
  <c r="S10" i="3" s="1"/>
  <c r="P11" i="3"/>
  <c r="S11" i="3" s="1"/>
  <c r="P12" i="3"/>
  <c r="S12" i="3" s="1"/>
  <c r="P13" i="3"/>
  <c r="S13" i="3" s="1"/>
  <c r="P14" i="3"/>
  <c r="S14" i="3" s="1"/>
  <c r="P15" i="3"/>
  <c r="S15" i="3" s="1"/>
  <c r="P16" i="3"/>
  <c r="S16" i="3" s="1"/>
  <c r="P17" i="3"/>
  <c r="S17" i="3" s="1"/>
  <c r="P18" i="3"/>
  <c r="S18" i="3" s="1"/>
  <c r="P19" i="3"/>
  <c r="S19" i="3" s="1"/>
  <c r="P20" i="3"/>
  <c r="S20" i="3" s="1"/>
  <c r="P21" i="3"/>
  <c r="S21" i="3" s="1"/>
  <c r="P22" i="3"/>
  <c r="S22" i="3" s="1"/>
  <c r="P23" i="3"/>
  <c r="S23" i="3" s="1"/>
  <c r="P24" i="3"/>
  <c r="S24" i="3" s="1"/>
  <c r="P25" i="3"/>
  <c r="S25" i="3" s="1"/>
  <c r="P26" i="3"/>
  <c r="S26" i="3" s="1"/>
  <c r="P27" i="3"/>
  <c r="S27" i="3" s="1"/>
  <c r="P28" i="3"/>
  <c r="S28" i="3" s="1"/>
  <c r="P29" i="3"/>
  <c r="S29" i="3" s="1"/>
  <c r="P30" i="3"/>
  <c r="S30" i="3" s="1"/>
  <c r="P31" i="3"/>
  <c r="S31" i="3" s="1"/>
  <c r="P32" i="3"/>
  <c r="P33" i="3"/>
  <c r="P34" i="3"/>
  <c r="P35" i="3"/>
  <c r="P36" i="3"/>
  <c r="P37" i="3"/>
  <c r="P38" i="3"/>
  <c r="P39" i="3"/>
  <c r="P40" i="3"/>
  <c r="P41" i="3"/>
  <c r="P42" i="3"/>
  <c r="P43" i="3"/>
  <c r="P44" i="3"/>
  <c r="P45" i="3"/>
  <c r="P46" i="3"/>
  <c r="P47" i="3"/>
  <c r="P49" i="3"/>
  <c r="P50" i="3"/>
  <c r="P51" i="3"/>
  <c r="P52" i="3"/>
  <c r="P53" i="3"/>
  <c r="P54" i="3"/>
  <c r="P55" i="3"/>
  <c r="P56" i="3"/>
  <c r="P57" i="3"/>
  <c r="P58" i="3"/>
  <c r="P59" i="3"/>
  <c r="P60" i="3"/>
  <c r="P61" i="3"/>
  <c r="P62" i="3"/>
  <c r="P63" i="3"/>
  <c r="P64" i="3"/>
  <c r="P65" i="3"/>
  <c r="P66" i="3"/>
  <c r="P67" i="3"/>
  <c r="P68" i="3"/>
  <c r="P69" i="3"/>
  <c r="P70" i="3"/>
  <c r="P71" i="3"/>
  <c r="P72" i="3"/>
  <c r="P73" i="3"/>
  <c r="P74" i="3"/>
  <c r="P75" i="3"/>
  <c r="P76" i="3"/>
  <c r="P77" i="3"/>
  <c r="P78" i="3"/>
  <c r="P79" i="3"/>
  <c r="P80" i="3"/>
  <c r="P81" i="3"/>
  <c r="P82" i="3"/>
  <c r="P83" i="3"/>
  <c r="P84" i="3"/>
  <c r="P85" i="3"/>
  <c r="P86" i="3"/>
  <c r="P87" i="3"/>
  <c r="P88" i="3"/>
  <c r="P89" i="3"/>
  <c r="P90" i="3"/>
  <c r="P91" i="3"/>
  <c r="P92" i="3"/>
  <c r="P93" i="3"/>
  <c r="P94" i="3"/>
  <c r="P95" i="3"/>
  <c r="P96" i="3"/>
  <c r="P97" i="3"/>
  <c r="P98" i="3"/>
  <c r="P99" i="3"/>
  <c r="P100" i="3"/>
  <c r="P101" i="3"/>
  <c r="P103" i="3"/>
  <c r="Q2" i="3"/>
  <c r="Q3" i="3"/>
  <c r="Q4" i="3"/>
  <c r="Q5" i="3"/>
  <c r="Q6" i="3"/>
  <c r="Q7" i="3"/>
  <c r="Q8" i="3"/>
  <c r="Q9" i="3"/>
  <c r="Q10" i="3"/>
  <c r="Q11" i="3"/>
  <c r="Q12" i="3"/>
  <c r="Q13" i="3"/>
  <c r="Q14" i="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Q28" i="3"/>
  <c r="Q29" i="3"/>
  <c r="Q30" i="3"/>
  <c r="Q31" i="3"/>
  <c r="Q32" i="3"/>
  <c r="Q33" i="3"/>
  <c r="Q34" i="3"/>
  <c r="Q35" i="3"/>
  <c r="Q36" i="3"/>
  <c r="Q37" i="3"/>
  <c r="Q38" i="3"/>
  <c r="Q39" i="3"/>
  <c r="Q40" i="3"/>
  <c r="Q41" i="3"/>
  <c r="Q42" i="3"/>
  <c r="Q43" i="3"/>
  <c r="Q44" i="3"/>
  <c r="Q45" i="3"/>
  <c r="Q46" i="3"/>
  <c r="Q47" i="3"/>
  <c r="Q49" i="3"/>
  <c r="Q50" i="3"/>
  <c r="Q51" i="3"/>
  <c r="Q52" i="3"/>
  <c r="Q53" i="3"/>
  <c r="Q54" i="3"/>
  <c r="Q55" i="3"/>
  <c r="Q56" i="3"/>
  <c r="Q57" i="3"/>
  <c r="Q58" i="3"/>
  <c r="Q59" i="3"/>
  <c r="Q60" i="3"/>
  <c r="Q61" i="3"/>
  <c r="Q62" i="3"/>
  <c r="D63" i="3" s="1"/>
  <c r="Q63" i="3"/>
  <c r="D64" i="3" s="1"/>
  <c r="Q64" i="3"/>
  <c r="D65" i="3" s="1"/>
  <c r="Q65" i="3"/>
  <c r="D66" i="3" s="1"/>
  <c r="Q66" i="3"/>
  <c r="D67" i="3" s="1"/>
  <c r="Q67" i="3"/>
  <c r="D68" i="3" s="1"/>
  <c r="Q68" i="3"/>
  <c r="D69" i="3" s="1"/>
  <c r="Q69" i="3"/>
  <c r="D70" i="3" s="1"/>
  <c r="Q70" i="3"/>
  <c r="D71" i="3" s="1"/>
  <c r="Q71" i="3"/>
  <c r="D72" i="3" s="1"/>
  <c r="Q72" i="3"/>
  <c r="D73" i="3" s="1"/>
  <c r="Q73" i="3"/>
  <c r="D74" i="3" s="1"/>
  <c r="Q74" i="3"/>
  <c r="D75" i="3" s="1"/>
  <c r="Q75" i="3"/>
  <c r="D76" i="3" s="1"/>
  <c r="Q76" i="3"/>
  <c r="D77" i="3" s="1"/>
  <c r="Q77" i="3"/>
  <c r="D78" i="3" s="1"/>
  <c r="Q78" i="3"/>
  <c r="D79" i="3" s="1"/>
  <c r="Q79" i="3"/>
  <c r="D80" i="3" s="1"/>
  <c r="Q80" i="3"/>
  <c r="D81" i="3" s="1"/>
  <c r="Q81" i="3"/>
  <c r="D82" i="3" s="1"/>
  <c r="Q82" i="3"/>
  <c r="D83" i="3" s="1"/>
  <c r="Q83" i="3"/>
  <c r="D84" i="3" s="1"/>
  <c r="Q84" i="3"/>
  <c r="D85" i="3" s="1"/>
  <c r="Q85" i="3"/>
  <c r="D86" i="3" s="1"/>
  <c r="Q86" i="3"/>
  <c r="D87" i="3" s="1"/>
  <c r="Q87" i="3"/>
  <c r="D88" i="3" s="1"/>
  <c r="Q88" i="3"/>
  <c r="D89" i="3" s="1"/>
  <c r="Q89" i="3"/>
  <c r="D90" i="3" s="1"/>
  <c r="Q90" i="3"/>
  <c r="D91" i="3" s="1"/>
  <c r="Q91" i="3"/>
  <c r="D92" i="3" s="1"/>
  <c r="Q92" i="3"/>
  <c r="D93" i="3" s="1"/>
  <c r="Q93" i="3"/>
  <c r="D94" i="3" s="1"/>
  <c r="Q94" i="3"/>
  <c r="D95" i="3" s="1"/>
  <c r="Q95" i="3"/>
  <c r="D96" i="3" s="1"/>
  <c r="Q96" i="3"/>
  <c r="D97" i="3" s="1"/>
  <c r="Q97" i="3"/>
  <c r="D98" i="3" s="1"/>
  <c r="Q98" i="3"/>
  <c r="D99" i="3" s="1"/>
  <c r="Q99" i="3"/>
  <c r="Q100" i="3"/>
  <c r="D101" i="3" s="1"/>
  <c r="Q101" i="3"/>
  <c r="D102" i="3" s="1"/>
  <c r="Q103" i="3"/>
  <c r="R2" i="3"/>
  <c r="R3" i="3"/>
  <c r="R4" i="3"/>
  <c r="R5" i="3"/>
  <c r="R6" i="3"/>
  <c r="R7" i="3"/>
  <c r="R8" i="3"/>
  <c r="R9" i="3"/>
  <c r="R10" i="3"/>
  <c r="R11" i="3"/>
  <c r="R12" i="3"/>
  <c r="R13" i="3"/>
  <c r="R14" i="3"/>
  <c r="R15" i="3"/>
  <c r="R16" i="3"/>
  <c r="R17" i="3"/>
  <c r="R18" i="3"/>
  <c r="R19" i="3"/>
  <c r="R20" i="3"/>
  <c r="R21" i="3"/>
  <c r="R22" i="3"/>
  <c r="R23" i="3"/>
  <c r="R24" i="3"/>
  <c r="R25" i="3"/>
  <c r="R26" i="3"/>
  <c r="R27" i="3"/>
  <c r="R28" i="3"/>
  <c r="R29" i="3"/>
  <c r="R30" i="3"/>
  <c r="R31" i="3"/>
  <c r="R32" i="3"/>
  <c r="R33" i="3"/>
  <c r="R34" i="3"/>
  <c r="R35" i="3"/>
  <c r="R36" i="3"/>
  <c r="R37" i="3"/>
  <c r="R38" i="3"/>
  <c r="R39" i="3"/>
  <c r="R40" i="3"/>
  <c r="R41" i="3"/>
  <c r="R42" i="3"/>
  <c r="R43" i="3"/>
  <c r="R44" i="3"/>
  <c r="R45" i="3"/>
  <c r="R46" i="3"/>
  <c r="R47" i="3"/>
  <c r="R49" i="3"/>
  <c r="R50" i="3"/>
  <c r="R51" i="3"/>
  <c r="R52" i="3"/>
  <c r="R53" i="3"/>
  <c r="R54" i="3"/>
  <c r="R55" i="3"/>
  <c r="R56" i="3"/>
  <c r="R57" i="3"/>
  <c r="R58" i="3"/>
  <c r="R59" i="3"/>
  <c r="R60" i="3"/>
  <c r="R61" i="3"/>
  <c r="R62" i="3"/>
  <c r="R63" i="3"/>
  <c r="R64" i="3"/>
  <c r="R65" i="3"/>
  <c r="R66" i="3"/>
  <c r="R67" i="3"/>
  <c r="R68" i="3"/>
  <c r="R69" i="3"/>
  <c r="R70" i="3"/>
  <c r="R71" i="3"/>
  <c r="R72" i="3"/>
  <c r="R73" i="3"/>
  <c r="R74" i="3"/>
  <c r="R75" i="3"/>
  <c r="R76" i="3"/>
  <c r="R77" i="3"/>
  <c r="R78" i="3"/>
  <c r="R79" i="3"/>
  <c r="R80" i="3"/>
  <c r="R81" i="3"/>
  <c r="R82" i="3"/>
  <c r="R83" i="3"/>
  <c r="R84" i="3"/>
  <c r="R85" i="3"/>
  <c r="R86" i="3"/>
  <c r="R87" i="3"/>
  <c r="R88" i="3"/>
  <c r="R89" i="3"/>
  <c r="R90" i="3"/>
  <c r="R91" i="3"/>
  <c r="R92" i="3"/>
  <c r="R93" i="3"/>
  <c r="R94" i="3"/>
  <c r="R95" i="3"/>
  <c r="R96" i="3"/>
  <c r="R97" i="3"/>
  <c r="R98" i="3"/>
  <c r="R99" i="3"/>
  <c r="R100" i="3"/>
  <c r="R101" i="3"/>
  <c r="R103" i="3"/>
  <c r="U2" i="3"/>
  <c r="U3" i="3"/>
  <c r="U4" i="3"/>
  <c r="U5" i="3"/>
  <c r="U6" i="3"/>
  <c r="U7" i="3"/>
  <c r="U8" i="3"/>
  <c r="U9" i="3"/>
  <c r="U10" i="3"/>
  <c r="U11" i="3"/>
  <c r="U12" i="3"/>
  <c r="U13" i="3"/>
  <c r="U14" i="3"/>
  <c r="U15" i="3"/>
  <c r="U16" i="3"/>
  <c r="U17" i="3"/>
  <c r="U18" i="3"/>
  <c r="U19" i="3"/>
  <c r="U20" i="3"/>
  <c r="U21" i="3"/>
  <c r="U22" i="3"/>
  <c r="U23" i="3"/>
  <c r="U24" i="3"/>
  <c r="U25" i="3"/>
  <c r="U26" i="3"/>
  <c r="U27" i="3"/>
  <c r="U28" i="3"/>
  <c r="U29" i="3"/>
  <c r="U30" i="3"/>
  <c r="U31" i="3"/>
  <c r="U32" i="3"/>
  <c r="U33" i="3"/>
  <c r="U34" i="3"/>
  <c r="U35" i="3"/>
  <c r="U36" i="3"/>
  <c r="U37" i="3"/>
  <c r="U38" i="3"/>
  <c r="U39" i="3"/>
  <c r="U40" i="3"/>
  <c r="U41" i="3"/>
  <c r="U42" i="3"/>
  <c r="U43" i="3"/>
  <c r="U44" i="3"/>
  <c r="U45" i="3"/>
  <c r="U46" i="3"/>
  <c r="U47" i="3"/>
  <c r="U49" i="3"/>
  <c r="U50" i="3"/>
  <c r="U51" i="3"/>
  <c r="U52" i="3"/>
  <c r="U53" i="3"/>
  <c r="U54" i="3"/>
  <c r="U55" i="3"/>
  <c r="U56" i="3"/>
  <c r="U57" i="3"/>
  <c r="U58" i="3"/>
  <c r="U59" i="3"/>
  <c r="U60" i="3"/>
  <c r="U61" i="3"/>
  <c r="U62" i="3"/>
  <c r="U63" i="3"/>
  <c r="U64" i="3"/>
  <c r="U65" i="3"/>
  <c r="U66" i="3"/>
  <c r="U67" i="3"/>
  <c r="U68" i="3"/>
  <c r="U69" i="3"/>
  <c r="U70" i="3"/>
  <c r="U71" i="3"/>
  <c r="U72" i="3"/>
  <c r="U73" i="3"/>
  <c r="U74" i="3"/>
  <c r="U75" i="3"/>
  <c r="U76" i="3"/>
  <c r="U77" i="3"/>
  <c r="U78" i="3"/>
  <c r="U79" i="3"/>
  <c r="U80" i="3"/>
  <c r="U81" i="3"/>
  <c r="U82" i="3"/>
  <c r="U83" i="3"/>
  <c r="U84" i="3"/>
  <c r="U85" i="3"/>
  <c r="U86" i="3"/>
  <c r="U87" i="3"/>
  <c r="U88" i="3"/>
  <c r="U89" i="3"/>
  <c r="U90" i="3"/>
  <c r="U91" i="3"/>
  <c r="U92" i="3"/>
  <c r="U93" i="3"/>
  <c r="U94" i="3"/>
  <c r="U95" i="3"/>
  <c r="U96" i="3"/>
  <c r="U97" i="3"/>
  <c r="U98" i="3"/>
  <c r="U99" i="3"/>
  <c r="U100" i="3"/>
  <c r="U101" i="3"/>
  <c r="U103" i="3"/>
  <c r="V2" i="3"/>
  <c r="V3" i="3"/>
  <c r="V4" i="3"/>
  <c r="V5" i="3"/>
  <c r="V6" i="3"/>
  <c r="V7" i="3"/>
  <c r="V8" i="3"/>
  <c r="V9" i="3"/>
  <c r="V10" i="3"/>
  <c r="V11" i="3"/>
  <c r="V12" i="3"/>
  <c r="V13" i="3"/>
  <c r="V14" i="3"/>
  <c r="V15" i="3"/>
  <c r="V16" i="3"/>
  <c r="V17" i="3"/>
  <c r="V18" i="3"/>
  <c r="V19" i="3"/>
  <c r="V20" i="3"/>
  <c r="V21" i="3"/>
  <c r="V22" i="3"/>
  <c r="V23" i="3"/>
  <c r="V24" i="3"/>
  <c r="V25" i="3"/>
  <c r="V26" i="3"/>
  <c r="V27" i="3"/>
  <c r="V28" i="3"/>
  <c r="V29" i="3"/>
  <c r="V30" i="3"/>
  <c r="V31" i="3"/>
  <c r="V32" i="3"/>
  <c r="V33" i="3"/>
  <c r="V34" i="3"/>
  <c r="V35" i="3"/>
  <c r="V36" i="3"/>
  <c r="V37" i="3"/>
  <c r="V38" i="3"/>
  <c r="V39" i="3"/>
  <c r="V40" i="3"/>
  <c r="V41" i="3"/>
  <c r="V42" i="3"/>
  <c r="V43" i="3"/>
  <c r="V44" i="3"/>
  <c r="V45" i="3"/>
  <c r="V46" i="3"/>
  <c r="V47" i="3"/>
  <c r="V49" i="3"/>
  <c r="V50" i="3"/>
  <c r="V51" i="3"/>
  <c r="V52" i="3"/>
  <c r="V53" i="3"/>
  <c r="V54" i="3"/>
  <c r="V55" i="3"/>
  <c r="V56" i="3"/>
  <c r="V57" i="3"/>
  <c r="V58" i="3"/>
  <c r="V59" i="3"/>
  <c r="V60" i="3"/>
  <c r="V61" i="3"/>
  <c r="V62" i="3"/>
  <c r="V63" i="3"/>
  <c r="V64" i="3"/>
  <c r="V65" i="3"/>
  <c r="V66" i="3"/>
  <c r="V67" i="3"/>
  <c r="V68" i="3"/>
  <c r="V69" i="3"/>
  <c r="V70" i="3"/>
  <c r="V71" i="3"/>
  <c r="V72" i="3"/>
  <c r="V73" i="3"/>
  <c r="V74" i="3"/>
  <c r="V75" i="3"/>
  <c r="V76" i="3"/>
  <c r="V77" i="3"/>
  <c r="V78" i="3"/>
  <c r="V79" i="3"/>
  <c r="V80" i="3"/>
  <c r="V81" i="3"/>
  <c r="V82" i="3"/>
  <c r="V83" i="3"/>
  <c r="V84" i="3"/>
  <c r="V85" i="3"/>
  <c r="V86" i="3"/>
  <c r="V87" i="3"/>
  <c r="V88" i="3"/>
  <c r="V89" i="3"/>
  <c r="V90" i="3"/>
  <c r="V91" i="3"/>
  <c r="V92" i="3"/>
  <c r="V93" i="3"/>
  <c r="V94" i="3"/>
  <c r="V95" i="3"/>
  <c r="V96" i="3"/>
  <c r="V97" i="3"/>
  <c r="V98" i="3"/>
  <c r="V99" i="3"/>
  <c r="V100" i="3"/>
  <c r="V101" i="3"/>
  <c r="V103" i="3"/>
  <c r="X2" i="3"/>
  <c r="X3" i="3"/>
  <c r="X4" i="3"/>
  <c r="X5" i="3"/>
  <c r="X6" i="3"/>
  <c r="X7" i="3"/>
  <c r="X8" i="3"/>
  <c r="X9" i="3"/>
  <c r="X10" i="3"/>
  <c r="X11" i="3"/>
  <c r="X12" i="3"/>
  <c r="X13" i="3"/>
  <c r="X14" i="3"/>
  <c r="X15" i="3"/>
  <c r="X16" i="3"/>
  <c r="X17" i="3"/>
  <c r="X18" i="3"/>
  <c r="X19" i="3"/>
  <c r="X20" i="3"/>
  <c r="X21" i="3"/>
  <c r="X22" i="3"/>
  <c r="X23" i="3"/>
  <c r="X24" i="3"/>
  <c r="X25" i="3"/>
  <c r="X26" i="3"/>
  <c r="X27" i="3"/>
  <c r="X28" i="3"/>
  <c r="X29" i="3"/>
  <c r="X30" i="3"/>
  <c r="X31" i="3"/>
  <c r="X32" i="3"/>
  <c r="X33" i="3"/>
  <c r="X34" i="3"/>
  <c r="X35" i="3"/>
  <c r="X36" i="3"/>
  <c r="X37" i="3"/>
  <c r="X38" i="3"/>
  <c r="X39" i="3"/>
  <c r="X40" i="3"/>
  <c r="X41" i="3"/>
  <c r="X42" i="3"/>
  <c r="X43" i="3"/>
  <c r="X44" i="3"/>
  <c r="X45" i="3"/>
  <c r="X46" i="3"/>
  <c r="X47" i="3"/>
  <c r="X49" i="3"/>
  <c r="X50" i="3"/>
  <c r="X51" i="3"/>
  <c r="X52" i="3"/>
  <c r="X53" i="3"/>
  <c r="X54" i="3"/>
  <c r="X55" i="3"/>
  <c r="X56" i="3"/>
  <c r="X57" i="3"/>
  <c r="X58" i="3"/>
  <c r="X59" i="3"/>
  <c r="X60" i="3"/>
  <c r="X61" i="3"/>
  <c r="X62" i="3"/>
  <c r="X63" i="3"/>
  <c r="X64" i="3"/>
  <c r="X65" i="3"/>
  <c r="X66" i="3"/>
  <c r="X67" i="3"/>
  <c r="X68" i="3"/>
  <c r="X69" i="3"/>
  <c r="X70" i="3"/>
  <c r="X71" i="3"/>
  <c r="X72" i="3"/>
  <c r="X73" i="3"/>
  <c r="X74" i="3"/>
  <c r="X75" i="3"/>
  <c r="X76" i="3"/>
  <c r="X77" i="3"/>
  <c r="X78" i="3"/>
  <c r="X79" i="3"/>
  <c r="X80" i="3"/>
  <c r="X81" i="3"/>
  <c r="X82" i="3"/>
  <c r="X83" i="3"/>
  <c r="X84" i="3"/>
  <c r="X85" i="3"/>
  <c r="X86" i="3"/>
  <c r="X87" i="3"/>
  <c r="X88" i="3"/>
  <c r="X89" i="3"/>
  <c r="X90" i="3"/>
  <c r="X91" i="3"/>
  <c r="X92" i="3"/>
  <c r="X93" i="3"/>
  <c r="X94" i="3"/>
  <c r="X95" i="3"/>
  <c r="X96" i="3"/>
  <c r="X97" i="3"/>
  <c r="X98" i="3"/>
  <c r="X99" i="3"/>
  <c r="X100" i="3"/>
  <c r="X101" i="3"/>
  <c r="X103" i="3"/>
  <c r="Y2" i="3"/>
  <c r="Y3" i="3"/>
  <c r="Y4" i="3"/>
  <c r="Y5" i="3"/>
  <c r="Y6" i="3"/>
  <c r="Y7" i="3"/>
  <c r="Y8" i="3"/>
  <c r="Y9" i="3"/>
  <c r="Y10" i="3"/>
  <c r="Y11" i="3"/>
  <c r="Y12" i="3"/>
  <c r="Y13" i="3"/>
  <c r="Y14" i="3"/>
  <c r="Y15" i="3"/>
  <c r="Y16" i="3"/>
  <c r="Y17" i="3"/>
  <c r="Y18" i="3"/>
  <c r="Y19" i="3"/>
  <c r="Y20" i="3"/>
  <c r="Y21" i="3"/>
  <c r="Y22" i="3"/>
  <c r="Y23" i="3"/>
  <c r="Y24" i="3"/>
  <c r="Y25" i="3"/>
  <c r="Y26" i="3"/>
  <c r="Y27" i="3"/>
  <c r="Y28" i="3"/>
  <c r="Y29" i="3"/>
  <c r="Y30" i="3"/>
  <c r="Y31" i="3"/>
  <c r="Y32" i="3"/>
  <c r="Y33" i="3"/>
  <c r="Y34" i="3"/>
  <c r="Y35" i="3"/>
  <c r="Y36" i="3"/>
  <c r="Y37" i="3"/>
  <c r="Y38" i="3"/>
  <c r="Y39" i="3"/>
  <c r="Y40" i="3"/>
  <c r="Y41" i="3"/>
  <c r="Y42" i="3"/>
  <c r="Y43" i="3"/>
  <c r="Y44" i="3"/>
  <c r="Y45" i="3"/>
  <c r="Y46" i="3"/>
  <c r="Y47" i="3"/>
  <c r="Y49" i="3"/>
  <c r="Y50" i="3"/>
  <c r="Y51" i="3"/>
  <c r="Y52" i="3"/>
  <c r="Y53" i="3"/>
  <c r="Y54" i="3"/>
  <c r="Y55" i="3"/>
  <c r="Y56" i="3"/>
  <c r="Y57" i="3"/>
  <c r="Y58" i="3"/>
  <c r="Y59" i="3"/>
  <c r="Y60" i="3"/>
  <c r="Y61" i="3"/>
  <c r="Y62" i="3"/>
  <c r="Y63" i="3"/>
  <c r="Y64" i="3"/>
  <c r="Y65" i="3"/>
  <c r="Y66" i="3"/>
  <c r="Y67" i="3"/>
  <c r="Y68" i="3"/>
  <c r="Y69" i="3"/>
  <c r="Y70" i="3"/>
  <c r="Y71" i="3"/>
  <c r="Y72" i="3"/>
  <c r="Y73" i="3"/>
  <c r="Y74" i="3"/>
  <c r="Y75" i="3"/>
  <c r="Y76" i="3"/>
  <c r="Y77" i="3"/>
  <c r="Y78" i="3"/>
  <c r="Y79" i="3"/>
  <c r="Y80" i="3"/>
  <c r="Y81" i="3"/>
  <c r="Y82" i="3"/>
  <c r="Y83" i="3"/>
  <c r="Y84" i="3"/>
  <c r="Y85" i="3"/>
  <c r="Y86" i="3"/>
  <c r="Y87" i="3"/>
  <c r="Y88" i="3"/>
  <c r="Y89" i="3"/>
  <c r="Y90" i="3"/>
  <c r="Y91" i="3"/>
  <c r="Y92" i="3"/>
  <c r="Y93" i="3"/>
  <c r="Y94" i="3"/>
  <c r="Y95" i="3"/>
  <c r="Y96" i="3"/>
  <c r="Y97" i="3"/>
  <c r="Y98" i="3"/>
  <c r="Y99" i="3"/>
  <c r="Y100" i="3"/>
  <c r="Y101" i="3"/>
  <c r="Y103" i="3"/>
  <c r="AA2" i="3"/>
  <c r="AA3" i="3"/>
  <c r="AA4" i="3"/>
  <c r="AA5" i="3"/>
  <c r="AA6" i="3"/>
  <c r="AA7" i="3"/>
  <c r="AA8" i="3"/>
  <c r="AA9" i="3"/>
  <c r="AA10" i="3"/>
  <c r="AA11" i="3"/>
  <c r="AA12" i="3"/>
  <c r="AA13" i="3"/>
  <c r="AA14" i="3"/>
  <c r="AA15" i="3"/>
  <c r="AA16" i="3"/>
  <c r="AA17" i="3"/>
  <c r="AA18" i="3"/>
  <c r="AA19" i="3"/>
  <c r="AA20" i="3"/>
  <c r="AA21" i="3"/>
  <c r="AA22" i="3"/>
  <c r="AA23" i="3"/>
  <c r="AA24" i="3"/>
  <c r="AA25" i="3"/>
  <c r="AA26" i="3"/>
  <c r="AA27" i="3"/>
  <c r="AA28" i="3"/>
  <c r="AA29" i="3"/>
  <c r="AA30" i="3"/>
  <c r="AA31" i="3"/>
  <c r="AA32" i="3"/>
  <c r="AA33" i="3"/>
  <c r="AA34" i="3"/>
  <c r="AA35" i="3"/>
  <c r="AA36" i="3"/>
  <c r="AA37" i="3"/>
  <c r="AA38" i="3"/>
  <c r="AA39" i="3"/>
  <c r="AA40" i="3"/>
  <c r="AA41" i="3"/>
  <c r="AA42" i="3"/>
  <c r="AA43" i="3"/>
  <c r="AA44" i="3"/>
  <c r="AA45" i="3"/>
  <c r="AA46" i="3"/>
  <c r="AA47" i="3"/>
  <c r="AA49" i="3"/>
  <c r="AA50" i="3"/>
  <c r="AA51" i="3"/>
  <c r="AA52" i="3"/>
  <c r="AA53" i="3"/>
  <c r="AA54" i="3"/>
  <c r="AA55" i="3"/>
  <c r="AA56" i="3"/>
  <c r="AA57" i="3"/>
  <c r="AA58" i="3"/>
  <c r="AA59" i="3"/>
  <c r="AA60" i="3"/>
  <c r="AA61" i="3"/>
  <c r="AA62" i="3"/>
  <c r="AA63" i="3"/>
  <c r="AA64" i="3"/>
  <c r="AA65" i="3"/>
  <c r="AA66" i="3"/>
  <c r="AA67" i="3"/>
  <c r="AA68" i="3"/>
  <c r="AA69" i="3"/>
  <c r="AA70" i="3"/>
  <c r="AA71" i="3"/>
  <c r="AA72" i="3"/>
  <c r="AA73" i="3"/>
  <c r="AA74" i="3"/>
  <c r="AA75" i="3"/>
  <c r="AA76" i="3"/>
  <c r="AA77" i="3"/>
  <c r="AA78" i="3"/>
  <c r="AA79" i="3"/>
  <c r="AA80" i="3"/>
  <c r="AA81" i="3"/>
  <c r="AA82" i="3"/>
  <c r="AA83" i="3"/>
  <c r="AA84" i="3"/>
  <c r="AA85" i="3"/>
  <c r="AA86" i="3"/>
  <c r="AA87" i="3"/>
  <c r="AA88" i="3"/>
  <c r="AA89" i="3"/>
  <c r="AA90" i="3"/>
  <c r="AA91" i="3"/>
  <c r="AA92" i="3"/>
  <c r="AA93" i="3"/>
  <c r="AA94" i="3"/>
  <c r="AA95" i="3"/>
  <c r="AA96" i="3"/>
  <c r="AA97" i="3"/>
  <c r="AA98" i="3"/>
  <c r="AA99" i="3"/>
  <c r="AA100" i="3"/>
  <c r="AA101" i="3"/>
  <c r="AA103" i="3"/>
  <c r="AE2" i="3"/>
  <c r="AE3" i="3"/>
  <c r="AE4" i="3"/>
  <c r="AE5" i="3"/>
  <c r="AE6" i="3"/>
  <c r="AE7" i="3"/>
  <c r="AE8" i="3"/>
  <c r="AE9" i="3"/>
  <c r="AE10" i="3"/>
  <c r="AE11" i="3"/>
  <c r="AE12" i="3"/>
  <c r="AE13" i="3"/>
  <c r="AE14" i="3"/>
  <c r="AE15" i="3"/>
  <c r="AE16" i="3"/>
  <c r="AE17" i="3"/>
  <c r="AE18" i="3"/>
  <c r="AE19" i="3"/>
  <c r="AE20" i="3"/>
  <c r="AE21" i="3"/>
  <c r="AE22" i="3"/>
  <c r="AE23" i="3"/>
  <c r="AE24" i="3"/>
  <c r="AE25" i="3"/>
  <c r="AE26" i="3"/>
  <c r="AE27" i="3"/>
  <c r="AE28" i="3"/>
  <c r="AE29" i="3"/>
  <c r="AE30" i="3"/>
  <c r="AE31" i="3"/>
  <c r="AE32" i="3"/>
  <c r="AE33" i="3"/>
  <c r="AE34" i="3"/>
  <c r="AE35" i="3"/>
  <c r="AE36" i="3"/>
  <c r="AE37" i="3"/>
  <c r="AE38" i="3"/>
  <c r="AE39" i="3"/>
  <c r="AE40" i="3"/>
  <c r="AE41" i="3"/>
  <c r="AE42" i="3"/>
  <c r="AE43" i="3"/>
  <c r="AE44" i="3"/>
  <c r="AE45" i="3"/>
  <c r="AE46" i="3"/>
  <c r="AE47" i="3"/>
  <c r="AE49" i="3"/>
  <c r="AE50" i="3"/>
  <c r="AE51" i="3"/>
  <c r="AE52" i="3"/>
  <c r="AE53" i="3"/>
  <c r="AE54" i="3"/>
  <c r="AE55" i="3"/>
  <c r="AE56" i="3"/>
  <c r="AE57" i="3"/>
  <c r="AE58" i="3"/>
  <c r="AE59" i="3"/>
  <c r="AE60" i="3"/>
  <c r="AE61" i="3"/>
  <c r="AE62" i="3"/>
  <c r="AE63" i="3"/>
  <c r="AE64" i="3"/>
  <c r="AE65" i="3"/>
  <c r="AE66" i="3"/>
  <c r="AE67" i="3"/>
  <c r="AE68" i="3"/>
  <c r="AE69" i="3"/>
  <c r="AE70" i="3"/>
  <c r="AE71" i="3"/>
  <c r="AE72" i="3"/>
  <c r="AE73" i="3"/>
  <c r="AE74" i="3"/>
  <c r="AE75" i="3"/>
  <c r="AE76" i="3"/>
  <c r="AE77" i="3"/>
  <c r="AE78" i="3"/>
  <c r="AE79" i="3"/>
  <c r="AE80" i="3"/>
  <c r="AE81" i="3"/>
  <c r="AE82" i="3"/>
  <c r="AE83" i="3"/>
  <c r="AE84" i="3"/>
  <c r="AE85" i="3"/>
  <c r="AE86" i="3"/>
  <c r="AE87" i="3"/>
  <c r="AE88" i="3"/>
  <c r="AE89" i="3"/>
  <c r="AE90" i="3"/>
  <c r="AE91" i="3"/>
  <c r="AE92" i="3"/>
  <c r="AE93" i="3"/>
  <c r="AE94" i="3"/>
  <c r="AE95" i="3"/>
  <c r="AE96" i="3"/>
  <c r="AE97" i="3"/>
  <c r="AE98" i="3"/>
  <c r="AE99" i="3"/>
  <c r="AE100" i="3"/>
  <c r="AE101" i="3"/>
  <c r="AE103" i="3"/>
  <c r="N44" i="5"/>
  <c r="AE1" i="3"/>
  <c r="AA1" i="3"/>
  <c r="Y1" i="3"/>
  <c r="X1" i="3"/>
  <c r="U1" i="3"/>
  <c r="V1" i="3"/>
  <c r="R1" i="3"/>
  <c r="Q1" i="3"/>
  <c r="P1" i="3"/>
  <c r="N1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3" i="3"/>
  <c r="F2" i="3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80" i="3"/>
  <c r="J81" i="3"/>
  <c r="J82" i="3"/>
  <c r="J83" i="3"/>
  <c r="J84" i="3"/>
  <c r="J85" i="3"/>
  <c r="J86" i="3"/>
  <c r="J87" i="3"/>
  <c r="J88" i="3"/>
  <c r="J89" i="3"/>
  <c r="J90" i="3"/>
  <c r="J91" i="3"/>
  <c r="J92" i="3"/>
  <c r="J93" i="3"/>
  <c r="J94" i="3"/>
  <c r="J95" i="3"/>
  <c r="J96" i="3"/>
  <c r="J97" i="3"/>
  <c r="J98" i="3"/>
  <c r="J99" i="3"/>
  <c r="J100" i="3"/>
  <c r="J101" i="3"/>
  <c r="J103" i="3"/>
  <c r="J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93" i="3"/>
  <c r="I94" i="3"/>
  <c r="I95" i="3"/>
  <c r="I96" i="3"/>
  <c r="I97" i="3"/>
  <c r="I98" i="3"/>
  <c r="I99" i="3"/>
  <c r="I100" i="3"/>
  <c r="I101" i="3"/>
  <c r="I103" i="3"/>
  <c r="I2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3" i="3"/>
  <c r="E2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3" i="3"/>
  <c r="B2" i="3"/>
  <c r="A61" i="3"/>
  <c r="A62" i="3"/>
  <c r="A63" i="3"/>
  <c r="A64" i="3"/>
  <c r="A65" i="3"/>
  <c r="A66" i="3"/>
  <c r="A67" i="3"/>
  <c r="A68" i="3"/>
  <c r="A69" i="3"/>
  <c r="A70" i="3"/>
  <c r="A71" i="3"/>
  <c r="A72" i="3"/>
  <c r="A73" i="3"/>
  <c r="A74" i="3"/>
  <c r="A75" i="3"/>
  <c r="A76" i="3"/>
  <c r="A77" i="3"/>
  <c r="A78" i="3"/>
  <c r="A79" i="3"/>
  <c r="A80" i="3"/>
  <c r="A81" i="3"/>
  <c r="A82" i="3"/>
  <c r="A83" i="3"/>
  <c r="A84" i="3"/>
  <c r="A85" i="3"/>
  <c r="A86" i="3"/>
  <c r="A87" i="3"/>
  <c r="A88" i="3"/>
  <c r="A89" i="3"/>
  <c r="A90" i="3"/>
  <c r="A91" i="3"/>
  <c r="A92" i="3"/>
  <c r="A93" i="3"/>
  <c r="A94" i="3"/>
  <c r="A95" i="3"/>
  <c r="A96" i="3"/>
  <c r="A97" i="3"/>
  <c r="A98" i="3"/>
  <c r="A99" i="3"/>
  <c r="A100" i="3"/>
  <c r="A101" i="3"/>
  <c r="A103" i="3"/>
  <c r="AC102" i="3" s="1"/>
  <c r="A3" i="3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29" i="3"/>
  <c r="A30" i="3"/>
  <c r="A31" i="3"/>
  <c r="A32" i="3"/>
  <c r="A33" i="3"/>
  <c r="A34" i="3"/>
  <c r="A35" i="3"/>
  <c r="A36" i="3"/>
  <c r="A37" i="3"/>
  <c r="A38" i="3"/>
  <c r="A39" i="3"/>
  <c r="A40" i="3"/>
  <c r="A41" i="3"/>
  <c r="A42" i="3"/>
  <c r="A43" i="3"/>
  <c r="A44" i="3"/>
  <c r="A45" i="3"/>
  <c r="A46" i="3"/>
  <c r="A47" i="3"/>
  <c r="A49" i="3"/>
  <c r="A50" i="3"/>
  <c r="A51" i="3"/>
  <c r="A52" i="3"/>
  <c r="A53" i="3"/>
  <c r="A54" i="3"/>
  <c r="A55" i="3"/>
  <c r="A56" i="3"/>
  <c r="A57" i="3"/>
  <c r="A58" i="3"/>
  <c r="A59" i="3"/>
  <c r="A60" i="3"/>
  <c r="A2" i="3"/>
  <c r="AC60" i="3" l="1"/>
  <c r="AC63" i="3"/>
  <c r="AC68" i="3"/>
  <c r="AC71" i="3"/>
  <c r="AC74" i="3"/>
  <c r="AC77" i="3"/>
  <c r="AC80" i="3"/>
  <c r="AC83" i="3"/>
  <c r="AC86" i="3"/>
  <c r="AC89" i="3"/>
  <c r="AC92" i="3"/>
  <c r="AC95" i="3"/>
  <c r="AC98" i="3"/>
  <c r="AC2" i="3"/>
  <c r="AC5" i="3"/>
  <c r="AC8" i="3"/>
  <c r="AC11" i="3"/>
  <c r="AC14" i="3"/>
  <c r="AC17" i="3"/>
  <c r="AC20" i="3"/>
  <c r="AC23" i="3"/>
  <c r="AC26" i="3"/>
  <c r="AC29" i="3"/>
  <c r="AC30" i="3"/>
  <c r="AC33" i="3"/>
  <c r="AC36" i="3"/>
  <c r="AC39" i="3"/>
  <c r="AC42" i="3"/>
  <c r="AC46" i="3"/>
  <c r="AC50" i="3"/>
  <c r="AC53" i="3"/>
  <c r="AC56" i="3"/>
  <c r="AC59" i="3"/>
  <c r="D100" i="3"/>
  <c r="D46" i="3"/>
  <c r="D47" i="3"/>
  <c r="D48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AC62" i="3"/>
  <c r="AC64" i="3"/>
  <c r="AC66" i="3"/>
  <c r="AC70" i="3"/>
  <c r="AC72" i="3"/>
  <c r="AC76" i="3"/>
  <c r="AC78" i="3"/>
  <c r="AC82" i="3"/>
  <c r="AC84" i="3"/>
  <c r="AC88" i="3"/>
  <c r="AC90" i="3"/>
  <c r="AC93" i="3"/>
  <c r="AC97" i="3"/>
  <c r="AC99" i="3"/>
  <c r="AC4" i="3"/>
  <c r="AC7" i="3"/>
  <c r="AC9" i="3"/>
  <c r="AC13" i="3"/>
  <c r="AC15" i="3"/>
  <c r="AC19" i="3"/>
  <c r="AC21" i="3"/>
  <c r="AC25" i="3"/>
  <c r="AC27" i="3"/>
  <c r="AC31" i="3"/>
  <c r="AC35" i="3"/>
  <c r="AC37" i="3"/>
  <c r="AC41" i="3"/>
  <c r="AC45" i="3"/>
  <c r="AC48" i="3"/>
  <c r="AC52" i="3"/>
  <c r="AC54" i="3"/>
  <c r="AC57" i="3"/>
  <c r="AC61" i="3"/>
  <c r="AC65" i="3"/>
  <c r="AC67" i="3"/>
  <c r="AC69" i="3"/>
  <c r="AC73" i="3"/>
  <c r="AC75" i="3"/>
  <c r="AC79" i="3"/>
  <c r="AC81" i="3"/>
  <c r="AC85" i="3"/>
  <c r="AC87" i="3"/>
  <c r="AC91" i="3"/>
  <c r="AC94" i="3"/>
  <c r="AC96" i="3"/>
  <c r="AC100" i="3"/>
  <c r="AC3" i="3"/>
  <c r="AC6" i="3"/>
  <c r="AC10" i="3"/>
  <c r="AC12" i="3"/>
  <c r="AC16" i="3"/>
  <c r="AC18" i="3"/>
  <c r="AC22" i="3"/>
  <c r="AC24" i="3"/>
  <c r="AC28" i="3"/>
  <c r="AC32" i="3"/>
  <c r="AC34" i="3"/>
  <c r="AC38" i="3"/>
  <c r="AC40" i="3"/>
  <c r="AC44" i="3"/>
  <c r="AC49" i="3"/>
  <c r="AC51" i="3"/>
  <c r="AC55" i="3"/>
  <c r="AC58" i="3"/>
  <c r="S32" i="3"/>
  <c r="S33" i="3"/>
  <c r="S34" i="3"/>
  <c r="S35" i="3"/>
  <c r="S36" i="3"/>
  <c r="S37" i="3"/>
  <c r="S38" i="3"/>
  <c r="S39" i="3"/>
  <c r="S40" i="3"/>
  <c r="S41" i="3"/>
  <c r="S42" i="3"/>
  <c r="S43" i="3"/>
  <c r="S44" i="3"/>
  <c r="S45" i="3"/>
  <c r="S46" i="3"/>
  <c r="S47" i="3"/>
  <c r="S49" i="3"/>
  <c r="S50" i="3"/>
  <c r="S51" i="3"/>
  <c r="S52" i="3"/>
  <c r="S53" i="3"/>
  <c r="S54" i="3"/>
  <c r="S55" i="3"/>
  <c r="S56" i="3"/>
  <c r="S57" i="3"/>
  <c r="S58" i="3"/>
  <c r="S59" i="3"/>
  <c r="S60" i="3"/>
  <c r="S61" i="3"/>
  <c r="S62" i="3"/>
  <c r="S63" i="3"/>
  <c r="S64" i="3"/>
  <c r="S65" i="3"/>
  <c r="S66" i="3"/>
  <c r="S67" i="3"/>
  <c r="S68" i="3"/>
  <c r="S69" i="3"/>
  <c r="S70" i="3"/>
  <c r="S71" i="3"/>
  <c r="S72" i="3"/>
  <c r="S73" i="3"/>
  <c r="S74" i="3"/>
  <c r="S75" i="3"/>
  <c r="S76" i="3"/>
  <c r="S77" i="3"/>
  <c r="S78" i="3"/>
  <c r="S79" i="3"/>
  <c r="S80" i="3"/>
  <c r="S81" i="3"/>
  <c r="S82" i="3"/>
  <c r="S83" i="3"/>
  <c r="S84" i="3"/>
  <c r="S85" i="3"/>
  <c r="S86" i="3"/>
  <c r="S87" i="3"/>
  <c r="S88" i="3"/>
  <c r="S89" i="3"/>
  <c r="S90" i="3"/>
  <c r="S91" i="3"/>
  <c r="S92" i="3"/>
  <c r="S93" i="3"/>
  <c r="S94" i="3"/>
  <c r="S95" i="3"/>
  <c r="S96" i="3"/>
  <c r="S97" i="3"/>
  <c r="S98" i="3"/>
  <c r="S99" i="3"/>
  <c r="S100" i="3"/>
  <c r="S101" i="3"/>
  <c r="S103" i="3"/>
  <c r="AC101" i="3"/>
  <c r="AC1" i="3"/>
  <c r="AC47" i="3"/>
  <c r="AC43" i="3"/>
  <c r="AC103" i="3"/>
  <c r="D44" i="3"/>
  <c r="D45" i="3"/>
  <c r="D43" i="3"/>
  <c r="S1" i="3"/>
  <c r="D2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B3B4F6A-7A30-4DE2-9C6D-0A261665A715}" keepAlive="1" name="Query - Clean_Sales_PQ" description="Connection to the 'Clean_Sales_PQ' query in the workbook." type="5" refreshedVersion="8" background="1" saveData="1">
    <dbPr connection="Provider=Microsoft.Mashup.OleDb.1;Data Source=$Workbook$;Location=Clean_Sales_PQ;Extended Properties=&quot;&quot;" command="SELECT * FROM [Clean_Sales_PQ]"/>
  </connection>
  <connection id="2" xr16:uid="{60F41F89-995E-4292-857E-DCE6925BF10B}" keepAlive="1" name="Query - messy_ecommerce_sales_data" description="Connection to the 'messy_ecommerce_sales_data' query in the workbook." type="5" refreshedVersion="0" background="1">
    <dbPr connection="Provider=Microsoft.Mashup.OleDb.1;Data Source=$Workbook$;Location=messy_ecommerce_sales_data;Extended Properties=&quot;&quot;" command="SELECT * FROM [messy_ecommerce_sales_data]"/>
  </connection>
</connections>
</file>

<file path=xl/sharedStrings.xml><?xml version="1.0" encoding="utf-8"?>
<sst xmlns="http://schemas.openxmlformats.org/spreadsheetml/2006/main" count="3651" uniqueCount="679">
  <si>
    <t>Issue</t>
  </si>
  <si>
    <t>Column(s)</t>
  </si>
  <si>
    <t>Records Affected</t>
  </si>
  <si>
    <t>Decision</t>
  </si>
  <si>
    <t>Leading spaces in headers</t>
  </si>
  <si>
    <t>Customer_Name</t>
  </si>
  <si>
    <t xml:space="preserve">Customer_Name, Category </t>
  </si>
  <si>
    <t>Missing Values</t>
  </si>
  <si>
    <t>Category</t>
  </si>
  <si>
    <t>2 columns</t>
  </si>
  <si>
    <t>Quantity</t>
  </si>
  <si>
    <t>Price</t>
  </si>
  <si>
    <t>Total</t>
  </si>
  <si>
    <t>All</t>
  </si>
  <si>
    <t>ID</t>
  </si>
  <si>
    <t>Order_ID</t>
  </si>
  <si>
    <t>Order_Date</t>
  </si>
  <si>
    <t>Non-numeric values</t>
  </si>
  <si>
    <t xml:space="preserve"> Customer_Name</t>
  </si>
  <si>
    <t>Product</t>
  </si>
  <si>
    <t xml:space="preserve"> Category</t>
  </si>
  <si>
    <t>Payment_Method</t>
  </si>
  <si>
    <t>Status</t>
  </si>
  <si>
    <t>Customer_100</t>
  </si>
  <si>
    <t>ORD-41285</t>
  </si>
  <si>
    <t>11/22/2024</t>
  </si>
  <si>
    <t>Blender</t>
  </si>
  <si>
    <t>Home</t>
  </si>
  <si>
    <t>Cash on Delivery</t>
  </si>
  <si>
    <t>Shipped</t>
  </si>
  <si>
    <t>Customer_101</t>
  </si>
  <si>
    <t>ORD-35783</t>
  </si>
  <si>
    <t>Smartphone</t>
  </si>
  <si>
    <t>Electronics</t>
  </si>
  <si>
    <t>abd</t>
  </si>
  <si>
    <t>PayPal</t>
  </si>
  <si>
    <t>Processing</t>
  </si>
  <si>
    <t>Customer_102</t>
  </si>
  <si>
    <t>ORD-84355</t>
  </si>
  <si>
    <t>12/23/2024</t>
  </si>
  <si>
    <t>Tennis Racket</t>
  </si>
  <si>
    <t>Sports</t>
  </si>
  <si>
    <t>389.05</t>
  </si>
  <si>
    <t>Delivered</t>
  </si>
  <si>
    <t>Customer_103</t>
  </si>
  <si>
    <t>ORD-57811</t>
  </si>
  <si>
    <t>3/19/2025</t>
  </si>
  <si>
    <t>Science</t>
  </si>
  <si>
    <t>Books</t>
  </si>
  <si>
    <t>233.92</t>
  </si>
  <si>
    <t>1169.6</t>
  </si>
  <si>
    <t>Customer_104</t>
  </si>
  <si>
    <t>ORD-93614</t>
  </si>
  <si>
    <t>10/20/2025</t>
  </si>
  <si>
    <t>Biography</t>
  </si>
  <si>
    <t>552.51</t>
  </si>
  <si>
    <t>Customer_105</t>
  </si>
  <si>
    <t>ORD-22442</t>
  </si>
  <si>
    <t>11/20/2024</t>
  </si>
  <si>
    <t>122.06</t>
  </si>
  <si>
    <t>Cancelled</t>
  </si>
  <si>
    <t>366.18</t>
  </si>
  <si>
    <t>Customer_106</t>
  </si>
  <si>
    <t>ORD-25885</t>
  </si>
  <si>
    <t>978.63</t>
  </si>
  <si>
    <t>Bank Transfer</t>
  </si>
  <si>
    <t>Customer_107</t>
  </si>
  <si>
    <t>ORD-89122</t>
  </si>
  <si>
    <t>587.68</t>
  </si>
  <si>
    <t>Returned</t>
  </si>
  <si>
    <t>2938.4</t>
  </si>
  <si>
    <t>Customer_108</t>
  </si>
  <si>
    <t>ORD-64400</t>
  </si>
  <si>
    <t>10/23/2025</t>
  </si>
  <si>
    <t>600.29</t>
  </si>
  <si>
    <t>Customer_109</t>
  </si>
  <si>
    <t>ORD-18512</t>
  </si>
  <si>
    <t>168.34</t>
  </si>
  <si>
    <t>Credit Card</t>
  </si>
  <si>
    <t>841.7</t>
  </si>
  <si>
    <t>Customer_110</t>
  </si>
  <si>
    <t>ORD-61020</t>
  </si>
  <si>
    <t>9/26/2025</t>
  </si>
  <si>
    <t>Basketball</t>
  </si>
  <si>
    <t>sports</t>
  </si>
  <si>
    <t>four hundred</t>
  </si>
  <si>
    <t>Customer_111</t>
  </si>
  <si>
    <t>ORD-72349</t>
  </si>
  <si>
    <t>10/22/2025</t>
  </si>
  <si>
    <t>Comics</t>
  </si>
  <si>
    <t>865.77</t>
  </si>
  <si>
    <t>1731.54</t>
  </si>
  <si>
    <t>Customer_112</t>
  </si>
  <si>
    <t>ORD-80867</t>
  </si>
  <si>
    <t>Shoes</t>
  </si>
  <si>
    <t>Clothing</t>
  </si>
  <si>
    <t>752.13</t>
  </si>
  <si>
    <t>3008.52</t>
  </si>
  <si>
    <t>Customer_113</t>
  </si>
  <si>
    <t>ORD-23994</t>
  </si>
  <si>
    <t>7/24/2025</t>
  </si>
  <si>
    <t>Fiction</t>
  </si>
  <si>
    <t>411.81</t>
  </si>
  <si>
    <t>Customer_114</t>
  </si>
  <si>
    <t>ORD-77417</t>
  </si>
  <si>
    <t>Jan 5 2023</t>
  </si>
  <si>
    <t>413.13</t>
  </si>
  <si>
    <t>826.26</t>
  </si>
  <si>
    <t>Customer_115</t>
  </si>
  <si>
    <t>ORD-72778</t>
  </si>
  <si>
    <t>796.84</t>
  </si>
  <si>
    <t>1115.576</t>
  </si>
  <si>
    <t>Customer_116</t>
  </si>
  <si>
    <t>ORD-63660</t>
  </si>
  <si>
    <t>10/30/2025</t>
  </si>
  <si>
    <t>Microwave</t>
  </si>
  <si>
    <t>Customer_117</t>
  </si>
  <si>
    <t>ORD-72751</t>
  </si>
  <si>
    <t>electronic</t>
  </si>
  <si>
    <t>Customer_118</t>
  </si>
  <si>
    <t>ORD-96061</t>
  </si>
  <si>
    <t>5/31/2025</t>
  </si>
  <si>
    <t>247.82</t>
  </si>
  <si>
    <t>1239.1</t>
  </si>
  <si>
    <t>Customer_119</t>
  </si>
  <si>
    <t>ORD-76016</t>
  </si>
  <si>
    <t>12/19/2024</t>
  </si>
  <si>
    <t>438.19</t>
  </si>
  <si>
    <t>1752.76</t>
  </si>
  <si>
    <t>Customer_120</t>
  </si>
  <si>
    <t>ORD-14659</t>
  </si>
  <si>
    <t>6/13/2025</t>
  </si>
  <si>
    <t>Yoga Mat</t>
  </si>
  <si>
    <t>ELECTRONICS</t>
  </si>
  <si>
    <t>300$</t>
  </si>
  <si>
    <t>Customer_121</t>
  </si>
  <si>
    <t>ORD-80067</t>
  </si>
  <si>
    <t>523.01</t>
  </si>
  <si>
    <t>2092.04</t>
  </si>
  <si>
    <t>Customer_122</t>
  </si>
  <si>
    <t>ORD-21443</t>
  </si>
  <si>
    <t>5/16/2025</t>
  </si>
  <si>
    <t>556.93</t>
  </si>
  <si>
    <t>1113.86</t>
  </si>
  <si>
    <t>Customer_123</t>
  </si>
  <si>
    <t>ORD-11314</t>
  </si>
  <si>
    <t>Vacuum</t>
  </si>
  <si>
    <t>615.91</t>
  </si>
  <si>
    <t>1847.73</t>
  </si>
  <si>
    <t>Customer_124</t>
  </si>
  <si>
    <t>ORD-46136</t>
  </si>
  <si>
    <t>Customer_125</t>
  </si>
  <si>
    <t>ORD-23202</t>
  </si>
  <si>
    <t>765.69</t>
  </si>
  <si>
    <t>3062.76</t>
  </si>
  <si>
    <t>Customer_126</t>
  </si>
  <si>
    <t>ORD-11261</t>
  </si>
  <si>
    <t>5/18/2025</t>
  </si>
  <si>
    <t>836.8</t>
  </si>
  <si>
    <t>3347.2</t>
  </si>
  <si>
    <t>Customer_127</t>
  </si>
  <si>
    <t>ORD-65482</t>
  </si>
  <si>
    <t>336.02</t>
  </si>
  <si>
    <t>1680.1</t>
  </si>
  <si>
    <t>Customer_128</t>
  </si>
  <si>
    <t>ORD-12270</t>
  </si>
  <si>
    <t>Lamp</t>
  </si>
  <si>
    <t>electronics</t>
  </si>
  <si>
    <t>898.69</t>
  </si>
  <si>
    <t>2696.07</t>
  </si>
  <si>
    <t>Customer_129</t>
  </si>
  <si>
    <t>ORD-48863</t>
  </si>
  <si>
    <t>6/22/2025</t>
  </si>
  <si>
    <t>736.71</t>
  </si>
  <si>
    <t>2946.84</t>
  </si>
  <si>
    <t>Customer_130</t>
  </si>
  <si>
    <t>ORD-34007</t>
  </si>
  <si>
    <t>8/15/2025</t>
  </si>
  <si>
    <t>Customer_131</t>
  </si>
  <si>
    <t>ORD-91396</t>
  </si>
  <si>
    <t>616.63</t>
  </si>
  <si>
    <t>3083.15</t>
  </si>
  <si>
    <t>Customer_132</t>
  </si>
  <si>
    <t>ORD-40186</t>
  </si>
  <si>
    <t>266.7</t>
  </si>
  <si>
    <t>Customer_133</t>
  </si>
  <si>
    <t>ORD-68182</t>
  </si>
  <si>
    <t>nan</t>
  </si>
  <si>
    <t>343.24</t>
  </si>
  <si>
    <t>1716.2</t>
  </si>
  <si>
    <t>Customer_134</t>
  </si>
  <si>
    <t>ORD-16585</t>
  </si>
  <si>
    <t>T-shirt</t>
  </si>
  <si>
    <t>591.53</t>
  </si>
  <si>
    <t>-2957.65</t>
  </si>
  <si>
    <t>Customer_135</t>
  </si>
  <si>
    <t>ORD-33656</t>
  </si>
  <si>
    <t>Smartwatch</t>
  </si>
  <si>
    <t>446.19</t>
  </si>
  <si>
    <t>1784.76</t>
  </si>
  <si>
    <t>Customer_136</t>
  </si>
  <si>
    <t>ORD-20985</t>
  </si>
  <si>
    <t>Headphones</t>
  </si>
  <si>
    <t>696.71</t>
  </si>
  <si>
    <t>Customer_137</t>
  </si>
  <si>
    <t>ORD-91254</t>
  </si>
  <si>
    <t>2/23/2025</t>
  </si>
  <si>
    <t>Customer_138</t>
  </si>
  <si>
    <t>ORD-34319</t>
  </si>
  <si>
    <t>531.06</t>
  </si>
  <si>
    <t>Customer_139</t>
  </si>
  <si>
    <t>ORD-38418</t>
  </si>
  <si>
    <t>681.38</t>
  </si>
  <si>
    <t>1362.76</t>
  </si>
  <si>
    <t>Customer_140</t>
  </si>
  <si>
    <t>ORD-67096</t>
  </si>
  <si>
    <t>2/26/2025</t>
  </si>
  <si>
    <t>588.98</t>
  </si>
  <si>
    <t>2355.92</t>
  </si>
  <si>
    <t>Customer_141</t>
  </si>
  <si>
    <t>ORD-45059</t>
  </si>
  <si>
    <t>2/13/2025</t>
  </si>
  <si>
    <t>546.04</t>
  </si>
  <si>
    <t>1638.12</t>
  </si>
  <si>
    <t>Customer_142</t>
  </si>
  <si>
    <t>ORD-69018</t>
  </si>
  <si>
    <t>645.26</t>
  </si>
  <si>
    <t>2258.41</t>
  </si>
  <si>
    <t>Customer_143</t>
  </si>
  <si>
    <t>ORD-14329</t>
  </si>
  <si>
    <t>826.77</t>
  </si>
  <si>
    <t>4133.85</t>
  </si>
  <si>
    <t>Customer_144</t>
  </si>
  <si>
    <t>ORD-89452</t>
  </si>
  <si>
    <t>1/27/2025</t>
  </si>
  <si>
    <t>Football</t>
  </si>
  <si>
    <t>849.07</t>
  </si>
  <si>
    <t>4245.35</t>
  </si>
  <si>
    <t>Customer_145</t>
  </si>
  <si>
    <t>ORD-75314</t>
  </si>
  <si>
    <t>Laptop</t>
  </si>
  <si>
    <t>860.99</t>
  </si>
  <si>
    <t>1721.98</t>
  </si>
  <si>
    <t>Customer_146</t>
  </si>
  <si>
    <t>ORD-32755</t>
  </si>
  <si>
    <t>705.42</t>
  </si>
  <si>
    <t>1410.84</t>
  </si>
  <si>
    <t>Customer_147</t>
  </si>
  <si>
    <t>ORD-80707</t>
  </si>
  <si>
    <t>Jacket</t>
  </si>
  <si>
    <t>596.15</t>
  </si>
  <si>
    <t>2384.6</t>
  </si>
  <si>
    <t>Customer_148</t>
  </si>
  <si>
    <t>ORD-38423</t>
  </si>
  <si>
    <t>3/13/2025</t>
  </si>
  <si>
    <t>660.98</t>
  </si>
  <si>
    <t>Customer_149</t>
  </si>
  <si>
    <t>ORD-95911</t>
  </si>
  <si>
    <t>6/29/2025</t>
  </si>
  <si>
    <t>896.38</t>
  </si>
  <si>
    <t>4481.9</t>
  </si>
  <si>
    <t>Customer_150</t>
  </si>
  <si>
    <t>ORD-76902</t>
  </si>
  <si>
    <t>11/27/2024</t>
  </si>
  <si>
    <t>206.19</t>
  </si>
  <si>
    <t>Customer_151</t>
  </si>
  <si>
    <t>ORD-56552</t>
  </si>
  <si>
    <t>457.16</t>
  </si>
  <si>
    <t>640.024</t>
  </si>
  <si>
    <t>Customer_152</t>
  </si>
  <si>
    <t>ORD-72869</t>
  </si>
  <si>
    <t>9/22/2025</t>
  </si>
  <si>
    <t>233.11</t>
  </si>
  <si>
    <t>699.33</t>
  </si>
  <si>
    <t>Customer_153</t>
  </si>
  <si>
    <t>ORD-29721</t>
  </si>
  <si>
    <t>7/16/2025</t>
  </si>
  <si>
    <t>278.9</t>
  </si>
  <si>
    <t>1115.6</t>
  </si>
  <si>
    <t>Customer_154</t>
  </si>
  <si>
    <t>ORD-95990</t>
  </si>
  <si>
    <t>2/21/2025</t>
  </si>
  <si>
    <t>789.64</t>
  </si>
  <si>
    <t>3948.2</t>
  </si>
  <si>
    <t>Customer_155</t>
  </si>
  <si>
    <t>ORD-20182</t>
  </si>
  <si>
    <t>shoes</t>
  </si>
  <si>
    <t>40.95</t>
  </si>
  <si>
    <t>Customer_156</t>
  </si>
  <si>
    <t>ORD-34679</t>
  </si>
  <si>
    <t>11/28/2024</t>
  </si>
  <si>
    <t>Jeans</t>
  </si>
  <si>
    <t>Customer_157</t>
  </si>
  <si>
    <t>ORD-34407</t>
  </si>
  <si>
    <t>275.1</t>
  </si>
  <si>
    <t>1100.4</t>
  </si>
  <si>
    <t>Customer_158</t>
  </si>
  <si>
    <t>ORD-35817</t>
  </si>
  <si>
    <t>933.58</t>
  </si>
  <si>
    <t>Customer_159</t>
  </si>
  <si>
    <t>ORD-98162</t>
  </si>
  <si>
    <t>7/28/2025</t>
  </si>
  <si>
    <t>163.16</t>
  </si>
  <si>
    <t>489.48</t>
  </si>
  <si>
    <t>Customer_160</t>
  </si>
  <si>
    <t>ORD-96037</t>
  </si>
  <si>
    <t>242.52</t>
  </si>
  <si>
    <t>1212.6</t>
  </si>
  <si>
    <t>Customer_161</t>
  </si>
  <si>
    <t>ORD-27653</t>
  </si>
  <si>
    <t>12/15/2024</t>
  </si>
  <si>
    <t>209.32</t>
  </si>
  <si>
    <t>837.28</t>
  </si>
  <si>
    <t>Customer_162</t>
  </si>
  <si>
    <t>ORD-27743</t>
  </si>
  <si>
    <t>5/19/2025</t>
  </si>
  <si>
    <t>155.76</t>
  </si>
  <si>
    <t>311.52</t>
  </si>
  <si>
    <t>Customer_163</t>
  </si>
  <si>
    <t>ORD-24378</t>
  </si>
  <si>
    <t>235.26</t>
  </si>
  <si>
    <t>705.78</t>
  </si>
  <si>
    <t>Customer_164</t>
  </si>
  <si>
    <t>ORD-23010</t>
  </si>
  <si>
    <t>587.64</t>
  </si>
  <si>
    <t>Customer_165</t>
  </si>
  <si>
    <t>ORD-55695</t>
  </si>
  <si>
    <t>443.13</t>
  </si>
  <si>
    <t>886.26</t>
  </si>
  <si>
    <t>Customer_166</t>
  </si>
  <si>
    <t>ORD-97756</t>
  </si>
  <si>
    <t>569.38</t>
  </si>
  <si>
    <t>1138.76</t>
  </si>
  <si>
    <t>Customer_167</t>
  </si>
  <si>
    <t>ORD-30329</t>
  </si>
  <si>
    <t>593.93</t>
  </si>
  <si>
    <t>Customer_168</t>
  </si>
  <si>
    <t>ORD-53430</t>
  </si>
  <si>
    <t>141.49</t>
  </si>
  <si>
    <t>282.98</t>
  </si>
  <si>
    <t>Customer_169</t>
  </si>
  <si>
    <t>ORD-75539</t>
  </si>
  <si>
    <t>582.13</t>
  </si>
  <si>
    <t>Customer_170</t>
  </si>
  <si>
    <t>ORD-21530</t>
  </si>
  <si>
    <t>741.63</t>
  </si>
  <si>
    <t>3708.15</t>
  </si>
  <si>
    <t>Customer_171</t>
  </si>
  <si>
    <t>ORD-99790</t>
  </si>
  <si>
    <t>688.68</t>
  </si>
  <si>
    <t>2066.04</t>
  </si>
  <si>
    <t>Customer_172</t>
  </si>
  <si>
    <t>ORD-48008</t>
  </si>
  <si>
    <t>11/18/2024</t>
  </si>
  <si>
    <t>942.76</t>
  </si>
  <si>
    <t>1885.52</t>
  </si>
  <si>
    <t>Customer_173</t>
  </si>
  <si>
    <t>ORD-42171</t>
  </si>
  <si>
    <t>351.89</t>
  </si>
  <si>
    <t>1759.45</t>
  </si>
  <si>
    <t>Customer_174</t>
  </si>
  <si>
    <t>ORD-16766</t>
  </si>
  <si>
    <t>9/20/2025</t>
  </si>
  <si>
    <t>187.48</t>
  </si>
  <si>
    <t>749.92</t>
  </si>
  <si>
    <t>Customer_175</t>
  </si>
  <si>
    <t>ORD-56651</t>
  </si>
  <si>
    <t>2/24/2025</t>
  </si>
  <si>
    <t>111.36</t>
  </si>
  <si>
    <t>Customer_176</t>
  </si>
  <si>
    <t>ORD-95794</t>
  </si>
  <si>
    <t>7/22/2025</t>
  </si>
  <si>
    <t>530.52</t>
  </si>
  <si>
    <t>2652.6</t>
  </si>
  <si>
    <t>Customer_177</t>
  </si>
  <si>
    <t>ORD-64136</t>
  </si>
  <si>
    <t>69.48</t>
  </si>
  <si>
    <t>Customer_178</t>
  </si>
  <si>
    <t>ORD-89906</t>
  </si>
  <si>
    <t>9/18/2025</t>
  </si>
  <si>
    <t>472.14</t>
  </si>
  <si>
    <t>1416.42</t>
  </si>
  <si>
    <t>Customer_179</t>
  </si>
  <si>
    <t>ORD-99328</t>
  </si>
  <si>
    <t>868.67</t>
  </si>
  <si>
    <t>2606.01</t>
  </si>
  <si>
    <t>Customer_180</t>
  </si>
  <si>
    <t>ORD-86629</t>
  </si>
  <si>
    <t>3/26/2025</t>
  </si>
  <si>
    <t>418.38</t>
  </si>
  <si>
    <t>836.76</t>
  </si>
  <si>
    <t>Customer_181</t>
  </si>
  <si>
    <t>ORD-54481</t>
  </si>
  <si>
    <t>12/29/2024</t>
  </si>
  <si>
    <t>266.48</t>
  </si>
  <si>
    <t>Customer_182</t>
  </si>
  <si>
    <t>ORD-79672</t>
  </si>
  <si>
    <t>538.35</t>
  </si>
  <si>
    <t>2153.4</t>
  </si>
  <si>
    <t>Customer_183</t>
  </si>
  <si>
    <t>ORD-20916</t>
  </si>
  <si>
    <t>Customer_184</t>
  </si>
  <si>
    <t>ORD-67799</t>
  </si>
  <si>
    <t>2/15/2025</t>
  </si>
  <si>
    <t>101.19</t>
  </si>
  <si>
    <t>404.76</t>
  </si>
  <si>
    <t>Customer_185</t>
  </si>
  <si>
    <t>ORD-57123</t>
  </si>
  <si>
    <t>8/14/2025</t>
  </si>
  <si>
    <t>730.92</t>
  </si>
  <si>
    <t>1023.288</t>
  </si>
  <si>
    <t>Customer_186</t>
  </si>
  <si>
    <t>ORD-90569</t>
  </si>
  <si>
    <t>365.34</t>
  </si>
  <si>
    <t>Customer_187</t>
  </si>
  <si>
    <t>ORD-41292</t>
  </si>
  <si>
    <t>11/19/2024</t>
  </si>
  <si>
    <t>882.96</t>
  </si>
  <si>
    <t>2648.88</t>
  </si>
  <si>
    <t>Customer_188</t>
  </si>
  <si>
    <t>ORD-58590</t>
  </si>
  <si>
    <t>504.05</t>
  </si>
  <si>
    <t>2520.25</t>
  </si>
  <si>
    <t>Customer_189</t>
  </si>
  <si>
    <t>ORD-30627</t>
  </si>
  <si>
    <t>814.68</t>
  </si>
  <si>
    <t>Customer_190</t>
  </si>
  <si>
    <t>ORD-38469</t>
  </si>
  <si>
    <t>920.37</t>
  </si>
  <si>
    <t>Customer_191</t>
  </si>
  <si>
    <t>ORD-41810</t>
  </si>
  <si>
    <t>7/18/2025</t>
  </si>
  <si>
    <t>881.02</t>
  </si>
  <si>
    <t>1762.04</t>
  </si>
  <si>
    <t>Customer_192</t>
  </si>
  <si>
    <t>ORD-35144</t>
  </si>
  <si>
    <t>abc</t>
  </si>
  <si>
    <t>4a</t>
  </si>
  <si>
    <t>203.63</t>
  </si>
  <si>
    <t>Customer_193</t>
  </si>
  <si>
    <t>ORD-42475</t>
  </si>
  <si>
    <t>522.02</t>
  </si>
  <si>
    <t>Customer_194</t>
  </si>
  <si>
    <t>ORD-69764</t>
  </si>
  <si>
    <t>944.54</t>
  </si>
  <si>
    <t>4722.7</t>
  </si>
  <si>
    <t>Customer_195</t>
  </si>
  <si>
    <t>ORD-82876</t>
  </si>
  <si>
    <t>6/19/2025</t>
  </si>
  <si>
    <t>817.46</t>
  </si>
  <si>
    <t>4087.3</t>
  </si>
  <si>
    <t>Customer_196</t>
  </si>
  <si>
    <t>ORD-78384</t>
  </si>
  <si>
    <t>Customer_197</t>
  </si>
  <si>
    <t>ORD-79139</t>
  </si>
  <si>
    <t>6/23/2025</t>
  </si>
  <si>
    <t>160.16</t>
  </si>
  <si>
    <t>Customer_198</t>
  </si>
  <si>
    <t>ORD-14608</t>
  </si>
  <si>
    <t>7/27/2025</t>
  </si>
  <si>
    <t>497.01</t>
  </si>
  <si>
    <t>994.02</t>
  </si>
  <si>
    <t>Customer_199</t>
  </si>
  <si>
    <t>ORD-82922</t>
  </si>
  <si>
    <t>1/22/2025</t>
  </si>
  <si>
    <t>372.28</t>
  </si>
  <si>
    <t>1861.4</t>
  </si>
  <si>
    <t>77.952</t>
  </si>
  <si>
    <t>3226.3</t>
  </si>
  <si>
    <t>3</t>
  </si>
  <si>
    <t>38</t>
  </si>
  <si>
    <t>114</t>
  </si>
  <si>
    <t>7/5/2025</t>
  </si>
  <si>
    <t>2</t>
  </si>
  <si>
    <t/>
  </si>
  <si>
    <t>1</t>
  </si>
  <si>
    <t>5</t>
  </si>
  <si>
    <t>2/2/2025</t>
  </si>
  <si>
    <t>1/3/2025</t>
  </si>
  <si>
    <t>5/3/2025</t>
  </si>
  <si>
    <t>3/2/2025</t>
  </si>
  <si>
    <t>4</t>
  </si>
  <si>
    <t>1/10/2025</t>
  </si>
  <si>
    <t>2/12/2025</t>
  </si>
  <si>
    <t>-2</t>
  </si>
  <si>
    <t>10000</t>
  </si>
  <si>
    <t>-20000</t>
  </si>
  <si>
    <t>10/11/2025</t>
  </si>
  <si>
    <t>10/6/2025</t>
  </si>
  <si>
    <t>2/9/2025</t>
  </si>
  <si>
    <t>5/12/2025</t>
  </si>
  <si>
    <t>11/10/2024</t>
  </si>
  <si>
    <t>6/11/2025</t>
  </si>
  <si>
    <t>4/2/2025</t>
  </si>
  <si>
    <t>12/5/2024</t>
  </si>
  <si>
    <t>10/4/2025</t>
  </si>
  <si>
    <t>-5</t>
  </si>
  <si>
    <t>6/12/2025</t>
  </si>
  <si>
    <t>-100</t>
  </si>
  <si>
    <t>-300</t>
  </si>
  <si>
    <t>8/9/2025</t>
  </si>
  <si>
    <t>7/11/2025</t>
  </si>
  <si>
    <t>5/1/2023</t>
  </si>
  <si>
    <t>7/9/2025</t>
  </si>
  <si>
    <t>5/1/2025</t>
  </si>
  <si>
    <t>7/1/2025</t>
  </si>
  <si>
    <t>11/6/2025</t>
  </si>
  <si>
    <t>4/5/2025</t>
  </si>
  <si>
    <t>1/5/2023</t>
  </si>
  <si>
    <t>11/8/2024</t>
  </si>
  <si>
    <t>7/3/2025</t>
  </si>
  <si>
    <t>8/7/2025</t>
  </si>
  <si>
    <t>11/4/2025</t>
  </si>
  <si>
    <t>8/12/2025</t>
  </si>
  <si>
    <t>10/3/2025</t>
  </si>
  <si>
    <t>12/6/2024</t>
  </si>
  <si>
    <t>9/3/2025</t>
  </si>
  <si>
    <t>8/3/2025</t>
  </si>
  <si>
    <t>3/10/2025</t>
  </si>
  <si>
    <t>6/6/2025</t>
  </si>
  <si>
    <t>2/10/2025</t>
  </si>
  <si>
    <t>Date_Clean</t>
  </si>
  <si>
    <t>Category_Clean</t>
  </si>
  <si>
    <t>Invalid</t>
  </si>
  <si>
    <t>Quantity_Clean</t>
  </si>
  <si>
    <t>Price_Clean</t>
  </si>
  <si>
    <t>Total_Clean</t>
  </si>
  <si>
    <t>Total_calc</t>
  </si>
  <si>
    <t>Check</t>
  </si>
  <si>
    <t xml:space="preserve">	Renamed manually to clean headers</t>
  </si>
  <si>
    <t>Standardized with TRIM + PROPER → 5 valid categories</t>
  </si>
  <si>
    <t>Inconsistent text casing</t>
  </si>
  <si>
    <t xml:space="preserve">	9 distinct values</t>
  </si>
  <si>
    <t>Misspelled category ("electronic")</t>
  </si>
  <si>
    <t>-</t>
  </si>
  <si>
    <t xml:space="preserve">	Corrected to "Electronics" via IF</t>
  </si>
  <si>
    <t>Nulls stored as literal "nan"</t>
  </si>
  <si>
    <t>Flagged as "Missing" (source export artifact)</t>
  </si>
  <si>
    <t>Empty strings vs true blanks</t>
  </si>
  <si>
    <t>Price, Quantity, Category, Total</t>
  </si>
  <si>
    <t>Detected with LEN(TRIM())=0; ISBLANK failed to catch them</t>
  </si>
  <si>
    <t>Category 8 · Quantity 5 · Price 5 · Total 14</t>
  </si>
  <si>
    <t xml:space="preserve">	Labeled "Missing", not deleted</t>
  </si>
  <si>
    <t>Price ("abd" ×2, "four hundred"), Quantity ("4a")</t>
  </si>
  <si>
    <t>Flagged "Invalid" — not guessed</t>
  </si>
  <si>
    <t>Currency symbol in value</t>
  </si>
  <si>
    <t>Price ("300$")</t>
  </si>
  <si>
    <t>Removed with SUBSTITUTE → 300</t>
  </si>
  <si>
    <t>US decimal notation (period)</t>
  </si>
  <si>
    <t>Price, Total</t>
  </si>
  <si>
    <t>Converted to regional separator before VALUE</t>
  </si>
  <si>
    <t>all</t>
  </si>
  <si>
    <t>Inconsistent date formats</t>
  </si>
  <si>
    <t>"Jan 5 2023" corrected manually; "abc" flagged Invalid</t>
  </si>
  <si>
    <t>Regional date misparse risk</t>
  </si>
  <si>
    <t>Excel read M/D as D/M causing silent errors; parsed explicitly with FIND/LEFT/MID/RIGHT + DATE, standardized to ISO YYYY-MM-DD</t>
  </si>
  <si>
    <t>Exact duplicate row</t>
  </si>
  <si>
    <t>1 (ID 146)</t>
  </si>
  <si>
    <t>Removed one copy</t>
  </si>
  <si>
    <t>Duplicate IDs with differing data</t>
  </si>
  <si>
    <t>ID, Order_ID</t>
  </si>
  <si>
    <t>2 (IDs 142, 175)</t>
  </si>
  <si>
    <t>Validated against Quantity × Price; kept the correct record — an automated "remove duplicates" would have retained corrupted data</t>
  </si>
  <si>
    <t>Negative values</t>
  </si>
  <si>
    <t>Quantity (-2, -5), Price (-100)</t>
  </si>
  <si>
    <t>Logically impossible but technically valid; flagged for client review, not altered</t>
  </si>
  <si>
    <t>Outlier price (10,000)</t>
  </si>
  <si>
    <t>Flagged for review (10-20× typical range)</t>
  </si>
  <si>
    <t>Total ≠ Quantity × Price</t>
  </si>
  <si>
    <t>3 (IDs 115, 151, 185)</t>
  </si>
  <si>
    <t>Exactly 70% of calculated value — consistent pattern suggesting an unrecorded discount; flagged, not overwritten</t>
  </si>
  <si>
    <t>Recoverable Total</t>
  </si>
  <si>
    <t>Recalculated from Quantity × Price where inputs were clean</t>
  </si>
  <si>
    <t>OK</t>
  </si>
  <si>
    <t>No Data</t>
  </si>
  <si>
    <t>Mismatch</t>
  </si>
  <si>
    <t>Total_Check</t>
  </si>
  <si>
    <t>Recalculated</t>
  </si>
  <si>
    <t>Total_Calc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</si>
  <si>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</si>
  <si>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</si>
  <si>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</si>
  <si>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</si>
  <si>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</si>
  <si>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</si>
  <si>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</si>
  <si>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</si>
  <si>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</si>
  <si>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</si>
  <si>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</si>
  <si>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</si>
  <si>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</si>
  <si>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</si>
  <si>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</si>
  <si>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</si>
  <si>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</si>
  <si>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</si>
  <si>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</si>
  <si>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</si>
  <si>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</si>
  <si>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</si>
  <si>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</si>
  <si>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</si>
  <si>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</si>
  <si>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</si>
  <si>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</si>
  <si>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</si>
  <si>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</si>
  <si>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</si>
  <si>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</si>
  <si>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</si>
  <si>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</si>
  <si>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</si>
  <si>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T-Shirt</t>
  </si>
  <si>
    <t>135</t>
  </si>
  <si>
    <t>136</t>
  </si>
  <si>
    <t>137</t>
  </si>
  <si>
    <t>138</t>
  </si>
  <si>
    <t>139</t>
  </si>
  <si>
    <t>140</t>
  </si>
  <si>
    <t>141</t>
  </si>
  <si>
    <t>143</t>
  </si>
  <si>
    <t>144</t>
  </si>
  <si>
    <t>145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</si>
  <si>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</si>
  <si>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</si>
  <si>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</si>
  <si>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</si>
  <si>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</si>
  <si>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</si>
  <si>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</si>
  <si>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</si>
  <si>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</si>
  <si>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</si>
  <si>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</si>
  <si>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</si>
  <si>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</si>
  <si>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</si>
  <si>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</si>
  <si>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</si>
  <si>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</si>
  <si>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</si>
  <si>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</si>
  <si>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</si>
  <si>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</si>
  <si>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</si>
  <si>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</si>
  <si>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</si>
  <si>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</si>
  <si>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</si>
  <si>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</si>
  <si>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</si>
  <si>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</si>
  <si>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</si>
  <si>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</si>
  <si>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</si>
  <si>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</si>
  <si>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</si>
  <si>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</si>
  <si>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</si>
  <si>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</si>
  <si>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</si>
  <si>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</si>
  <si>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</si>
  <si>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</si>
  <si>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</si>
  <si>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</si>
  <si>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</si>
  <si>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</si>
  <si>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</si>
  <si>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</si>
  <si>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</si>
  <si>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</si>
  <si>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</si>
  <si>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</si>
  <si>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</si>
  <si>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</si>
  <si>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142</t>
  </si>
  <si>
    <t>146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</si>
</sst>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6" formatCode="yyyy\-mm\-dd;@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3999755851924192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164" fontId="0" fillId="0" borderId="0" xfId="0" applyNumberFormat="1"/>
    <xf numFmtId="166" fontId="0" fillId="0" borderId="0" xfId="0" applyNumberFormat="1"/>
    <xf numFmtId="0" fontId="0" fillId="0" borderId="0" xfId="0" applyFont="1"/>
    <xf numFmtId="0" fontId="0" fillId="0" borderId="10" xfId="0" applyBorder="1"/>
    <xf numFmtId="166" fontId="0" fillId="0" borderId="10" xfId="0" applyNumberFormat="1" applyBorder="1"/>
    <xf numFmtId="0" fontId="0" fillId="33" borderId="10" xfId="0" applyFill="1" applyBorder="1"/>
    <xf numFmtId="166" fontId="0" fillId="0" borderId="0" xfId="0" applyNumberFormat="1" applyBorder="1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9">
    <dxf>
      <numFmt numFmtId="164" formatCode="yyyy\-mm\-dd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6" formatCode="yyyy\-mm\-dd;@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DF46839-A748-4A5E-8C33-18DFE6B8D64D}" autoFormatId="16" applyNumberFormats="0" applyBorderFormats="0" applyFontFormats="0" applyPatternFormats="0" applyAlignmentFormats="0" applyWidthHeightFormats="0">
  <queryTableRefresh nextId="14">
    <queryTableFields count="13">
      <queryTableField id="1" name="ID" tableColumnId="1"/>
      <queryTableField id="2" name="Customer_Name" tableColumnId="2"/>
      <queryTableField id="3" name="Order_ID" tableColumnId="3"/>
      <queryTableField id="4" name="Order_Date" tableColumnId="4"/>
      <queryTableField id="5" name="Product" tableColumnId="5"/>
      <queryTableField id="6" name="Category" tableColumnId="6"/>
      <queryTableField id="7" name="Quantity" tableColumnId="7"/>
      <queryTableField id="8" name="Price" tableColumnId="8"/>
      <queryTableField id="9" name="Payment_Method" tableColumnId="9"/>
      <queryTableField id="10" name="Status" tableColumnId="10"/>
      <queryTableField id="11" name="Total" tableColumnId="11"/>
      <queryTableField id="12" name="Total_Calc" tableColumnId="12"/>
      <queryTableField id="13" name="Total_Check" tableColumnId="13"/>
    </queryTableFields>
  </queryTableRefresh>
</queryTable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2ABC1B3-1516-4306-B70C-EBC3B40E855D}" name="messy_ecommerce_sales_data__2" displayName="messy_ecommerce_sales_data__2" ref="A1:K104" totalsRowShown="0">
  <autoFilter ref="A1:K104" xr:uid="{52ABC1B3-1516-4306-B70C-EBC3B40E855D}"/>
  <tableColumns count="11">
    <tableColumn id="1" xr3:uid="{F14C3C6C-4529-4F5C-A6FC-0C45B12423FF}" name="ID"/>
    <tableColumn id="2" xr3:uid="{A91812C1-192F-4BB8-8FB8-C5CF06726D75}" name=" Customer_Name" dataDxfId="28"/>
    <tableColumn id="3" xr3:uid="{138F186A-D1B6-406A-9DE3-4A34C2809581}" name="Order_ID" dataDxfId="27"/>
    <tableColumn id="4" xr3:uid="{CE30C45E-828E-4928-A2FE-B97562604D90}" name="Order_Date" dataDxfId="26"/>
    <tableColumn id="5" xr3:uid="{00717B26-A85D-48D6-92AD-9945D5DAECD1}" name="Product" dataDxfId="25"/>
    <tableColumn id="6" xr3:uid="{ADFA54CF-6B2D-4C12-9966-803B325D98E4}" name=" Category" dataDxfId="24"/>
    <tableColumn id="7" xr3:uid="{F48AA054-8FB8-4877-8BB0-42D91E5699BC}" name="Quantity" dataDxfId="23"/>
    <tableColumn id="8" xr3:uid="{73F6E85B-410B-499A-B762-42BB44BD189C}" name="Price" dataDxfId="22"/>
    <tableColumn id="9" xr3:uid="{DCCDB523-591B-4B19-B142-7C1A014EBC68}" name="Payment_Method" dataDxfId="21"/>
    <tableColumn id="10" xr3:uid="{88C2BDC8-F614-4DB5-B44E-08CCCD8942D2}" name="Status" dataDxfId="20"/>
    <tableColumn id="11" xr3:uid="{AA89E9DD-EE71-4D07-85F1-057C7470188D}" name="Total" dataDxfId="19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7DDD93E-A7D7-4E6E-B252-12BA6F7F1C37}" name="Table1" displayName="Table1" ref="A1:D18" totalsRowShown="0">
  <autoFilter ref="A1:D18" xr:uid="{57DDD93E-A7D7-4E6E-B252-12BA6F7F1C37}"/>
  <tableColumns count="4">
    <tableColumn id="1" xr3:uid="{EB7201E2-5E3F-4942-8F52-4789ECB932C8}" name="Issue"/>
    <tableColumn id="2" xr3:uid="{2B3FD35F-0CD3-4AC0-9E05-707BB0538FAC}" name="Column(s)"/>
    <tableColumn id="3" xr3:uid="{3475C820-E222-4ECC-A44A-3475EC5C0B6F}" name="Records Affected"/>
    <tableColumn id="4" xr3:uid="{E47CE0EB-763D-4EF4-BD85-B347E80B4FEE}" name="Decisio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C034CE6-25EB-4D6F-8833-E6C217DA53D6}" name="messy_ecommerce_sales_data__27" displayName="messy_ecommerce_sales_data__27" ref="A1:K101" totalsRowShown="0">
  <autoFilter ref="A1:K101" xr:uid="{7C034CE6-25EB-4D6F-8833-E6C217DA53D6}"/>
  <tableColumns count="11">
    <tableColumn id="1" xr3:uid="{8DD8B3E5-D603-405D-9942-DBD1CFAE87C8}" name="ID"/>
    <tableColumn id="2" xr3:uid="{7F0848D4-744D-4057-BB17-20C4C3A491F1}" name=" Customer_Name" dataDxfId="18"/>
    <tableColumn id="3" xr3:uid="{3882BCE6-A7FC-4F6B-A5E7-25F5EAA32F78}" name="Order_ID" dataDxfId="17"/>
    <tableColumn id="4" xr3:uid="{EC591750-718D-4F37-A00A-585B99C9A4CE}" name="Order_Date" dataDxfId="16"/>
    <tableColumn id="5" xr3:uid="{32E255DF-BD80-4FE1-900E-459D704D83E4}" name="Product" dataDxfId="15"/>
    <tableColumn id="6" xr3:uid="{97754DAA-8C0B-47DE-A8A9-E4B645906C9A}" name=" Category" dataDxfId="14"/>
    <tableColumn id="7" xr3:uid="{8B5862E6-4C7F-4462-89E6-E373A8D49845}" name="Quantity" dataDxfId="13"/>
    <tableColumn id="8" xr3:uid="{CC693885-F106-40DC-906A-7E52C13916C3}" name="Price" dataDxfId="12"/>
    <tableColumn id="9" xr3:uid="{69E1A45E-80F4-4F04-AE98-D10D510C08DE}" name="Payment_Method" dataDxfId="11"/>
    <tableColumn id="10" xr3:uid="{DA4F1C41-61E7-49B2-A8ED-D4B6AB0A10B0}" name="Status" dataDxfId="10"/>
    <tableColumn id="11" xr3:uid="{5392EB46-12FD-4509-8348-39CE70BA77DB}" name="Total" dataDxfId="9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BBF19D29-0310-4474-AB1E-0B46A4C02175}" name="Clean_Sales_PQ" displayName="Clean_Sales_PQ" ref="A1:M101" tableType="queryTable" totalsRowShown="0">
  <autoFilter ref="A1:M101" xr:uid="{BBF19D29-0310-4474-AB1E-0B46A4C02175}"/>
  <tableColumns count="13">
    <tableColumn id="1" xr3:uid="{952BA42C-60C9-4363-BAF0-44C96C48577A}" uniqueName="1" name="ID" queryTableFieldId="1" dataDxfId="7"/>
    <tableColumn id="2" xr3:uid="{8DE2B498-BA65-40BB-9D81-9F1F1083A1F5}" uniqueName="2" name="Customer_Name" queryTableFieldId="2" dataDxfId="6"/>
    <tableColumn id="3" xr3:uid="{F6C1FB0A-57C6-47C0-83B8-4B1B6E159D88}" uniqueName="3" name="Order_ID" queryTableFieldId="3" dataDxfId="5"/>
    <tableColumn id="4" xr3:uid="{49CAD216-40E8-46DE-9C5E-B364AE77DBED}" uniqueName="4" name="Order_Date" queryTableFieldId="4" dataDxfId="0"/>
    <tableColumn id="5" xr3:uid="{C23A39ED-0308-4CF0-BECC-8D6F6BF3FC23}" uniqueName="5" name="Product" queryTableFieldId="5" dataDxfId="4"/>
    <tableColumn id="6" xr3:uid="{63E78D55-340B-405C-BF98-F123095D365A}" uniqueName="6" name="Category" queryTableFieldId="6" dataDxfId="3"/>
    <tableColumn id="7" xr3:uid="{889481A1-3D60-46E1-9EB5-A83D426D425D}" uniqueName="7" name="Quantity" queryTableFieldId="7"/>
    <tableColumn id="8" xr3:uid="{B06483EF-D1B1-4614-BB1C-136740E759BE}" uniqueName="8" name="Price" queryTableFieldId="8"/>
    <tableColumn id="9" xr3:uid="{C0770C1D-F24C-4409-81A0-E8CBDD6B33B1}" uniqueName="9" name="Payment_Method" queryTableFieldId="9" dataDxfId="2"/>
    <tableColumn id="10" xr3:uid="{12E94C66-FADF-4A1B-9C88-FA3347E6BD73}" uniqueName="10" name="Status" queryTableFieldId="10" dataDxfId="1"/>
    <tableColumn id="11" xr3:uid="{A49321EA-D7EE-4282-B37E-D54BD108566D}" uniqueName="11" name="Total" queryTableFieldId="11"/>
    <tableColumn id="12" xr3:uid="{CEE1EBF9-319B-4238-8303-E411D2BED4C6}" uniqueName="12" name="Total_Calc" queryTableFieldId="12"/>
    <tableColumn id="13" xr3:uid="{FF73CF41-49A1-49B6-85E1-1712B8B99F1C}" uniqueName="13" name="Total_Check" queryTableFieldId="13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C10329AC-C513-4125-B907-96DDA0E8BA31}" name="Table8" displayName="Table8" ref="A1:L101" totalsRowShown="0">
  <autoFilter ref="A1:L101" xr:uid="{C10329AC-C513-4125-B907-96DDA0E8BA31}"/>
  <tableColumns count="12">
    <tableColumn id="1" xr3:uid="{E0E02FD3-760B-4A20-BA7C-4784F5040037}" name="ID"/>
    <tableColumn id="2" xr3:uid="{1339D942-D123-4B5F-A53E-A5D8C9850487}" name="Customer_Name"/>
    <tableColumn id="3" xr3:uid="{67293C53-A6EB-44E7-AB02-76ABBC01B419}" name="Order_ID"/>
    <tableColumn id="4" xr3:uid="{DAC06D01-BFFB-421C-9420-39B192CE1B57}" name="Order_Date" dataDxfId="8"/>
    <tableColumn id="5" xr3:uid="{F7171B20-26AC-49A1-849B-C4B48D233C60}" name="Product"/>
    <tableColumn id="6" xr3:uid="{E6BD48F3-7C06-45D7-B302-20DCC8E15A15}" name="Category"/>
    <tableColumn id="7" xr3:uid="{3F414654-A35B-4553-8C62-CC4B7E495C56}" name="Quantity"/>
    <tableColumn id="8" xr3:uid="{D26EB5F2-8166-4FF5-9AAB-A2F28049C1F7}" name="Price"/>
    <tableColumn id="9" xr3:uid="{70348F7E-9757-46A4-B131-CB45770F0572}" name="Payment_Method"/>
    <tableColumn id="10" xr3:uid="{0702EABA-08F9-4F85-9608-0930A9E63807}" name="Status"/>
    <tableColumn id="11" xr3:uid="{391C63E8-2E26-493F-BE6C-44FEEC57D56B}" name="Total"/>
    <tableColumn id="12" xr3:uid="{0780BF1E-BD2F-4190-9EF0-97BC18B48009}" name="Total_Check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68458-1366-4394-8AE6-5EAF58AD83F5}">
  <dimension ref="A1:N104"/>
  <sheetViews>
    <sheetView workbookViewId="0">
      <selection activeCell="L90" sqref="L90"/>
    </sheetView>
  </sheetViews>
  <sheetFormatPr defaultRowHeight="14.4" x14ac:dyDescent="0.3"/>
  <cols>
    <col min="1" max="1" width="5" bestFit="1" customWidth="1"/>
    <col min="2" max="2" width="17.5546875" bestFit="1" customWidth="1"/>
    <col min="3" max="3" width="10.5546875" bestFit="1" customWidth="1"/>
    <col min="4" max="4" width="12.6640625" bestFit="1" customWidth="1"/>
    <col min="5" max="5" width="12.109375" bestFit="1" customWidth="1"/>
    <col min="6" max="6" width="12.44140625" bestFit="1" customWidth="1"/>
    <col min="7" max="7" width="10.33203125" bestFit="1" customWidth="1"/>
    <col min="8" max="8" width="11.21875" bestFit="1" customWidth="1"/>
    <col min="9" max="9" width="17.6640625" bestFit="1" customWidth="1"/>
    <col min="10" max="10" width="9.88671875" bestFit="1" customWidth="1"/>
    <col min="11" max="11" width="8.5546875" bestFit="1" customWidth="1"/>
  </cols>
  <sheetData>
    <row r="1" spans="1:11" x14ac:dyDescent="0.3">
      <c r="A1" t="s">
        <v>14</v>
      </c>
      <c r="B1" t="s">
        <v>18</v>
      </c>
      <c r="C1" t="s">
        <v>15</v>
      </c>
      <c r="D1" t="s">
        <v>16</v>
      </c>
      <c r="E1" t="s">
        <v>19</v>
      </c>
      <c r="F1" t="s">
        <v>20</v>
      </c>
      <c r="G1" t="s">
        <v>10</v>
      </c>
      <c r="H1" t="s">
        <v>11</v>
      </c>
      <c r="I1" t="s">
        <v>21</v>
      </c>
      <c r="J1" t="s">
        <v>22</v>
      </c>
      <c r="K1" t="s">
        <v>12</v>
      </c>
    </row>
    <row r="2" spans="1:11" x14ac:dyDescent="0.3">
      <c r="A2">
        <v>100</v>
      </c>
      <c r="B2" t="s">
        <v>23</v>
      </c>
      <c r="C2" t="s">
        <v>24</v>
      </c>
      <c r="D2" t="s">
        <v>25</v>
      </c>
      <c r="E2" t="s">
        <v>26</v>
      </c>
      <c r="F2" t="s">
        <v>27</v>
      </c>
      <c r="G2" t="s">
        <v>469</v>
      </c>
      <c r="H2" t="s">
        <v>470</v>
      </c>
      <c r="I2" t="s">
        <v>28</v>
      </c>
      <c r="J2" t="s">
        <v>29</v>
      </c>
      <c r="K2" t="s">
        <v>471</v>
      </c>
    </row>
    <row r="3" spans="1:11" x14ac:dyDescent="0.3">
      <c r="A3">
        <v>101</v>
      </c>
      <c r="B3" t="s">
        <v>30</v>
      </c>
      <c r="C3" t="s">
        <v>31</v>
      </c>
      <c r="D3" t="s">
        <v>472</v>
      </c>
      <c r="E3" t="s">
        <v>32</v>
      </c>
      <c r="F3" t="s">
        <v>33</v>
      </c>
      <c r="G3" t="s">
        <v>473</v>
      </c>
      <c r="H3" t="s">
        <v>34</v>
      </c>
      <c r="I3" t="s">
        <v>35</v>
      </c>
      <c r="J3" t="s">
        <v>36</v>
      </c>
      <c r="K3" t="s">
        <v>474</v>
      </c>
    </row>
    <row r="4" spans="1:11" x14ac:dyDescent="0.3">
      <c r="A4">
        <v>102</v>
      </c>
      <c r="B4" t="s">
        <v>37</v>
      </c>
      <c r="C4" t="s">
        <v>38</v>
      </c>
      <c r="D4" t="s">
        <v>39</v>
      </c>
      <c r="E4" t="s">
        <v>40</v>
      </c>
      <c r="F4" t="s">
        <v>41</v>
      </c>
      <c r="G4" t="s">
        <v>475</v>
      </c>
      <c r="H4" t="s">
        <v>42</v>
      </c>
      <c r="I4" t="s">
        <v>35</v>
      </c>
      <c r="J4" t="s">
        <v>43</v>
      </c>
      <c r="K4" t="s">
        <v>42</v>
      </c>
    </row>
    <row r="5" spans="1:11" x14ac:dyDescent="0.3">
      <c r="A5">
        <v>103</v>
      </c>
      <c r="B5" t="s">
        <v>44</v>
      </c>
      <c r="C5" t="s">
        <v>45</v>
      </c>
      <c r="D5" t="s">
        <v>46</v>
      </c>
      <c r="E5" t="s">
        <v>47</v>
      </c>
      <c r="F5" t="s">
        <v>48</v>
      </c>
      <c r="G5" t="s">
        <v>476</v>
      </c>
      <c r="H5" t="s">
        <v>49</v>
      </c>
      <c r="I5" t="s">
        <v>35</v>
      </c>
      <c r="J5" t="s">
        <v>36</v>
      </c>
      <c r="K5" t="s">
        <v>50</v>
      </c>
    </row>
    <row r="6" spans="1:11" x14ac:dyDescent="0.3">
      <c r="A6">
        <v>104</v>
      </c>
      <c r="B6" t="s">
        <v>51</v>
      </c>
      <c r="C6" t="s">
        <v>52</v>
      </c>
      <c r="D6" t="s">
        <v>53</v>
      </c>
      <c r="E6" t="s">
        <v>54</v>
      </c>
      <c r="F6" t="s">
        <v>48</v>
      </c>
      <c r="G6" t="s">
        <v>475</v>
      </c>
      <c r="H6" t="s">
        <v>55</v>
      </c>
      <c r="I6" t="s">
        <v>28</v>
      </c>
      <c r="J6" t="s">
        <v>36</v>
      </c>
      <c r="K6" t="s">
        <v>55</v>
      </c>
    </row>
    <row r="7" spans="1:11" x14ac:dyDescent="0.3">
      <c r="A7">
        <v>105</v>
      </c>
      <c r="B7" t="s">
        <v>56</v>
      </c>
      <c r="C7" t="s">
        <v>57</v>
      </c>
      <c r="D7" t="s">
        <v>58</v>
      </c>
      <c r="E7" t="s">
        <v>40</v>
      </c>
      <c r="F7" t="s">
        <v>41</v>
      </c>
      <c r="G7" t="s">
        <v>469</v>
      </c>
      <c r="H7" t="s">
        <v>59</v>
      </c>
      <c r="I7" t="s">
        <v>28</v>
      </c>
      <c r="J7" t="s">
        <v>60</v>
      </c>
      <c r="K7" t="s">
        <v>61</v>
      </c>
    </row>
    <row r="8" spans="1:11" x14ac:dyDescent="0.3">
      <c r="A8">
        <v>106</v>
      </c>
      <c r="B8" t="s">
        <v>62</v>
      </c>
      <c r="C8" t="s">
        <v>63</v>
      </c>
      <c r="D8" t="s">
        <v>477</v>
      </c>
      <c r="E8" t="s">
        <v>26</v>
      </c>
      <c r="F8" t="s">
        <v>27</v>
      </c>
      <c r="G8" t="s">
        <v>474</v>
      </c>
      <c r="H8" t="s">
        <v>64</v>
      </c>
      <c r="I8" t="s">
        <v>65</v>
      </c>
      <c r="J8" t="s">
        <v>36</v>
      </c>
      <c r="K8" t="s">
        <v>474</v>
      </c>
    </row>
    <row r="9" spans="1:11" x14ac:dyDescent="0.3">
      <c r="A9">
        <v>107</v>
      </c>
      <c r="B9" t="s">
        <v>66</v>
      </c>
      <c r="C9" t="s">
        <v>67</v>
      </c>
      <c r="D9" t="s">
        <v>478</v>
      </c>
      <c r="E9" t="s">
        <v>54</v>
      </c>
      <c r="F9" t="s">
        <v>48</v>
      </c>
      <c r="G9" t="s">
        <v>476</v>
      </c>
      <c r="H9" t="s">
        <v>68</v>
      </c>
      <c r="I9" t="s">
        <v>35</v>
      </c>
      <c r="J9" t="s">
        <v>69</v>
      </c>
      <c r="K9" t="s">
        <v>70</v>
      </c>
    </row>
    <row r="10" spans="1:11" x14ac:dyDescent="0.3">
      <c r="A10">
        <v>108</v>
      </c>
      <c r="B10" t="s">
        <v>71</v>
      </c>
      <c r="C10" t="s">
        <v>72</v>
      </c>
      <c r="D10" t="s">
        <v>73</v>
      </c>
      <c r="E10" t="s">
        <v>47</v>
      </c>
      <c r="F10" t="s">
        <v>48</v>
      </c>
      <c r="G10" t="s">
        <v>475</v>
      </c>
      <c r="H10" t="s">
        <v>74</v>
      </c>
      <c r="I10" t="s">
        <v>28</v>
      </c>
      <c r="J10" t="s">
        <v>36</v>
      </c>
      <c r="K10" t="s">
        <v>74</v>
      </c>
    </row>
    <row r="11" spans="1:11" x14ac:dyDescent="0.3">
      <c r="A11">
        <v>109</v>
      </c>
      <c r="B11" t="s">
        <v>75</v>
      </c>
      <c r="C11" t="s">
        <v>76</v>
      </c>
      <c r="D11" t="s">
        <v>479</v>
      </c>
      <c r="E11" t="s">
        <v>40</v>
      </c>
      <c r="F11" t="s">
        <v>41</v>
      </c>
      <c r="G11" t="s">
        <v>476</v>
      </c>
      <c r="H11" t="s">
        <v>77</v>
      </c>
      <c r="I11" t="s">
        <v>78</v>
      </c>
      <c r="J11" t="s">
        <v>29</v>
      </c>
      <c r="K11" t="s">
        <v>79</v>
      </c>
    </row>
    <row r="12" spans="1:11" x14ac:dyDescent="0.3">
      <c r="A12">
        <v>110</v>
      </c>
      <c r="B12" t="s">
        <v>80</v>
      </c>
      <c r="C12" t="s">
        <v>81</v>
      </c>
      <c r="D12" t="s">
        <v>82</v>
      </c>
      <c r="E12" t="s">
        <v>83</v>
      </c>
      <c r="F12" t="s">
        <v>84</v>
      </c>
      <c r="G12" t="s">
        <v>476</v>
      </c>
      <c r="H12" t="s">
        <v>85</v>
      </c>
      <c r="I12" t="s">
        <v>28</v>
      </c>
      <c r="J12" t="s">
        <v>60</v>
      </c>
      <c r="K12" t="s">
        <v>474</v>
      </c>
    </row>
    <row r="13" spans="1:11" x14ac:dyDescent="0.3">
      <c r="A13">
        <v>111</v>
      </c>
      <c r="B13" t="s">
        <v>86</v>
      </c>
      <c r="C13" t="s">
        <v>87</v>
      </c>
      <c r="D13" t="s">
        <v>88</v>
      </c>
      <c r="E13" t="s">
        <v>89</v>
      </c>
      <c r="F13" t="s">
        <v>48</v>
      </c>
      <c r="G13" t="s">
        <v>473</v>
      </c>
      <c r="H13" t="s">
        <v>90</v>
      </c>
      <c r="I13" t="s">
        <v>78</v>
      </c>
      <c r="J13" t="s">
        <v>69</v>
      </c>
      <c r="K13" t="s">
        <v>91</v>
      </c>
    </row>
    <row r="14" spans="1:11" x14ac:dyDescent="0.3">
      <c r="A14">
        <v>112</v>
      </c>
      <c r="B14" t="s">
        <v>92</v>
      </c>
      <c r="C14" t="s">
        <v>93</v>
      </c>
      <c r="D14" t="s">
        <v>480</v>
      </c>
      <c r="E14" t="s">
        <v>94</v>
      </c>
      <c r="F14" t="s">
        <v>95</v>
      </c>
      <c r="G14" t="s">
        <v>481</v>
      </c>
      <c r="H14" t="s">
        <v>96</v>
      </c>
      <c r="I14" t="s">
        <v>65</v>
      </c>
      <c r="J14" t="s">
        <v>43</v>
      </c>
      <c r="K14" t="s">
        <v>97</v>
      </c>
    </row>
    <row r="15" spans="1:11" x14ac:dyDescent="0.3">
      <c r="A15">
        <v>113</v>
      </c>
      <c r="B15" t="s">
        <v>98</v>
      </c>
      <c r="C15" t="s">
        <v>99</v>
      </c>
      <c r="D15" t="s">
        <v>100</v>
      </c>
      <c r="E15" t="s">
        <v>101</v>
      </c>
      <c r="F15" t="s">
        <v>48</v>
      </c>
      <c r="G15" t="s">
        <v>475</v>
      </c>
      <c r="H15" t="s">
        <v>102</v>
      </c>
      <c r="I15" t="s">
        <v>78</v>
      </c>
      <c r="J15" t="s">
        <v>36</v>
      </c>
      <c r="K15" t="s">
        <v>102</v>
      </c>
    </row>
    <row r="16" spans="1:11" x14ac:dyDescent="0.3">
      <c r="A16">
        <v>114</v>
      </c>
      <c r="B16" t="s">
        <v>103</v>
      </c>
      <c r="C16" t="s">
        <v>104</v>
      </c>
      <c r="D16" t="s">
        <v>105</v>
      </c>
      <c r="E16" t="s">
        <v>32</v>
      </c>
      <c r="F16" t="s">
        <v>33</v>
      </c>
      <c r="G16" t="s">
        <v>473</v>
      </c>
      <c r="H16" t="s">
        <v>106</v>
      </c>
      <c r="I16" t="s">
        <v>28</v>
      </c>
      <c r="J16" t="s">
        <v>29</v>
      </c>
      <c r="K16" t="s">
        <v>107</v>
      </c>
    </row>
    <row r="17" spans="1:11" x14ac:dyDescent="0.3">
      <c r="A17">
        <v>115</v>
      </c>
      <c r="B17" t="s">
        <v>108</v>
      </c>
      <c r="C17" t="s">
        <v>109</v>
      </c>
      <c r="D17" t="s">
        <v>482</v>
      </c>
      <c r="E17" t="s">
        <v>101</v>
      </c>
      <c r="F17" t="s">
        <v>48</v>
      </c>
      <c r="G17" t="s">
        <v>473</v>
      </c>
      <c r="H17" t="s">
        <v>110</v>
      </c>
      <c r="I17" t="s">
        <v>28</v>
      </c>
      <c r="J17" t="s">
        <v>69</v>
      </c>
      <c r="K17" t="s">
        <v>111</v>
      </c>
    </row>
    <row r="18" spans="1:11" x14ac:dyDescent="0.3">
      <c r="A18">
        <v>116</v>
      </c>
      <c r="B18" t="s">
        <v>112</v>
      </c>
      <c r="C18" t="s">
        <v>113</v>
      </c>
      <c r="D18" t="s">
        <v>114</v>
      </c>
      <c r="E18" t="s">
        <v>115</v>
      </c>
      <c r="F18" t="s">
        <v>27</v>
      </c>
      <c r="G18" t="s">
        <v>481</v>
      </c>
      <c r="H18" t="s">
        <v>474</v>
      </c>
      <c r="I18" t="s">
        <v>28</v>
      </c>
      <c r="J18" t="s">
        <v>36</v>
      </c>
      <c r="K18" t="s">
        <v>474</v>
      </c>
    </row>
    <row r="19" spans="1:11" x14ac:dyDescent="0.3">
      <c r="A19">
        <v>117</v>
      </c>
      <c r="B19" t="s">
        <v>116</v>
      </c>
      <c r="C19" t="s">
        <v>117</v>
      </c>
      <c r="D19" t="s">
        <v>483</v>
      </c>
      <c r="E19" t="s">
        <v>26</v>
      </c>
      <c r="F19" t="s">
        <v>118</v>
      </c>
      <c r="G19" t="s">
        <v>484</v>
      </c>
      <c r="H19" t="s">
        <v>485</v>
      </c>
      <c r="I19" t="s">
        <v>28</v>
      </c>
      <c r="J19" t="s">
        <v>36</v>
      </c>
      <c r="K19" t="s">
        <v>486</v>
      </c>
    </row>
    <row r="20" spans="1:11" x14ac:dyDescent="0.3">
      <c r="A20">
        <v>118</v>
      </c>
      <c r="B20" t="s">
        <v>119</v>
      </c>
      <c r="C20" t="s">
        <v>120</v>
      </c>
      <c r="D20" t="s">
        <v>121</v>
      </c>
      <c r="E20" t="s">
        <v>47</v>
      </c>
      <c r="F20" t="s">
        <v>48</v>
      </c>
      <c r="G20" t="s">
        <v>476</v>
      </c>
      <c r="H20" t="s">
        <v>122</v>
      </c>
      <c r="I20" t="s">
        <v>35</v>
      </c>
      <c r="J20" t="s">
        <v>36</v>
      </c>
      <c r="K20" t="s">
        <v>123</v>
      </c>
    </row>
    <row r="21" spans="1:11" x14ac:dyDescent="0.3">
      <c r="A21">
        <v>119</v>
      </c>
      <c r="B21" t="s">
        <v>124</v>
      </c>
      <c r="C21" t="s">
        <v>125</v>
      </c>
      <c r="D21" t="s">
        <v>126</v>
      </c>
      <c r="E21" t="s">
        <v>83</v>
      </c>
      <c r="F21" t="s">
        <v>41</v>
      </c>
      <c r="G21" t="s">
        <v>481</v>
      </c>
      <c r="H21" t="s">
        <v>127</v>
      </c>
      <c r="I21" t="s">
        <v>28</v>
      </c>
      <c r="J21" t="s">
        <v>36</v>
      </c>
      <c r="K21" t="s">
        <v>128</v>
      </c>
    </row>
    <row r="22" spans="1:11" x14ac:dyDescent="0.3">
      <c r="A22">
        <v>120</v>
      </c>
      <c r="B22" t="s">
        <v>129</v>
      </c>
      <c r="C22" t="s">
        <v>130</v>
      </c>
      <c r="D22" t="s">
        <v>131</v>
      </c>
      <c r="E22" t="s">
        <v>132</v>
      </c>
      <c r="F22" t="s">
        <v>133</v>
      </c>
      <c r="G22" t="s">
        <v>476</v>
      </c>
      <c r="H22" t="s">
        <v>134</v>
      </c>
      <c r="I22" t="s">
        <v>78</v>
      </c>
      <c r="J22" t="s">
        <v>60</v>
      </c>
      <c r="K22" t="s">
        <v>474</v>
      </c>
    </row>
    <row r="23" spans="1:11" x14ac:dyDescent="0.3">
      <c r="A23">
        <v>121</v>
      </c>
      <c r="B23" t="s">
        <v>135</v>
      </c>
      <c r="C23" t="s">
        <v>136</v>
      </c>
      <c r="D23" t="s">
        <v>487</v>
      </c>
      <c r="E23" t="s">
        <v>83</v>
      </c>
      <c r="F23" t="s">
        <v>41</v>
      </c>
      <c r="G23" t="s">
        <v>481</v>
      </c>
      <c r="H23" t="s">
        <v>137</v>
      </c>
      <c r="I23" t="s">
        <v>78</v>
      </c>
      <c r="J23" t="s">
        <v>43</v>
      </c>
      <c r="K23" t="s">
        <v>138</v>
      </c>
    </row>
    <row r="24" spans="1:11" x14ac:dyDescent="0.3">
      <c r="A24">
        <v>122</v>
      </c>
      <c r="B24" t="s">
        <v>139</v>
      </c>
      <c r="C24" t="s">
        <v>140</v>
      </c>
      <c r="D24" t="s">
        <v>141</v>
      </c>
      <c r="E24" t="s">
        <v>115</v>
      </c>
      <c r="F24" t="s">
        <v>27</v>
      </c>
      <c r="G24" t="s">
        <v>473</v>
      </c>
      <c r="H24" t="s">
        <v>142</v>
      </c>
      <c r="I24" t="s">
        <v>35</v>
      </c>
      <c r="J24" t="s">
        <v>29</v>
      </c>
      <c r="K24" t="s">
        <v>143</v>
      </c>
    </row>
    <row r="25" spans="1:11" x14ac:dyDescent="0.3">
      <c r="A25">
        <v>123</v>
      </c>
      <c r="B25" t="s">
        <v>144</v>
      </c>
      <c r="C25" t="s">
        <v>145</v>
      </c>
      <c r="D25" t="s">
        <v>488</v>
      </c>
      <c r="E25" t="s">
        <v>146</v>
      </c>
      <c r="F25" t="s">
        <v>118</v>
      </c>
      <c r="G25" t="s">
        <v>469</v>
      </c>
      <c r="H25" t="s">
        <v>147</v>
      </c>
      <c r="I25" t="s">
        <v>28</v>
      </c>
      <c r="J25" t="s">
        <v>60</v>
      </c>
      <c r="K25" t="s">
        <v>148</v>
      </c>
    </row>
    <row r="26" spans="1:11" x14ac:dyDescent="0.3">
      <c r="A26">
        <v>124</v>
      </c>
      <c r="B26" t="s">
        <v>149</v>
      </c>
      <c r="C26" t="s">
        <v>150</v>
      </c>
      <c r="D26" t="s">
        <v>121</v>
      </c>
      <c r="E26" t="s">
        <v>89</v>
      </c>
      <c r="F26" t="s">
        <v>48</v>
      </c>
      <c r="G26" t="s">
        <v>476</v>
      </c>
      <c r="H26" t="s">
        <v>474</v>
      </c>
      <c r="I26" t="s">
        <v>35</v>
      </c>
      <c r="J26" t="s">
        <v>60</v>
      </c>
      <c r="K26" t="s">
        <v>474</v>
      </c>
    </row>
    <row r="27" spans="1:11" x14ac:dyDescent="0.3">
      <c r="A27">
        <v>125</v>
      </c>
      <c r="B27" t="s">
        <v>151</v>
      </c>
      <c r="C27" t="s">
        <v>152</v>
      </c>
      <c r="D27" t="s">
        <v>489</v>
      </c>
      <c r="E27" t="s">
        <v>89</v>
      </c>
      <c r="F27" t="s">
        <v>48</v>
      </c>
      <c r="G27" t="s">
        <v>481</v>
      </c>
      <c r="H27" t="s">
        <v>153</v>
      </c>
      <c r="I27" t="s">
        <v>35</v>
      </c>
      <c r="J27" t="s">
        <v>29</v>
      </c>
      <c r="K27" t="s">
        <v>154</v>
      </c>
    </row>
    <row r="28" spans="1:11" x14ac:dyDescent="0.3">
      <c r="A28">
        <v>126</v>
      </c>
      <c r="B28" t="s">
        <v>155</v>
      </c>
      <c r="C28" t="s">
        <v>156</v>
      </c>
      <c r="D28" t="s">
        <v>157</v>
      </c>
      <c r="E28" t="s">
        <v>94</v>
      </c>
      <c r="F28" t="s">
        <v>95</v>
      </c>
      <c r="G28" t="s">
        <v>481</v>
      </c>
      <c r="H28" t="s">
        <v>158</v>
      </c>
      <c r="I28" t="s">
        <v>65</v>
      </c>
      <c r="J28" t="s">
        <v>60</v>
      </c>
      <c r="K28" t="s">
        <v>159</v>
      </c>
    </row>
    <row r="29" spans="1:11" x14ac:dyDescent="0.3">
      <c r="A29">
        <v>127</v>
      </c>
      <c r="B29" t="s">
        <v>160</v>
      </c>
      <c r="C29" t="s">
        <v>161</v>
      </c>
      <c r="D29" t="s">
        <v>490</v>
      </c>
      <c r="E29" t="s">
        <v>26</v>
      </c>
      <c r="F29" t="s">
        <v>27</v>
      </c>
      <c r="G29" t="s">
        <v>476</v>
      </c>
      <c r="H29" t="s">
        <v>162</v>
      </c>
      <c r="I29" t="s">
        <v>65</v>
      </c>
      <c r="J29" t="s">
        <v>69</v>
      </c>
      <c r="K29" t="s">
        <v>163</v>
      </c>
    </row>
    <row r="30" spans="1:11" x14ac:dyDescent="0.3">
      <c r="A30">
        <v>128</v>
      </c>
      <c r="B30" t="s">
        <v>164</v>
      </c>
      <c r="C30" t="s">
        <v>165</v>
      </c>
      <c r="D30" t="s">
        <v>491</v>
      </c>
      <c r="E30" t="s">
        <v>166</v>
      </c>
      <c r="F30" t="s">
        <v>167</v>
      </c>
      <c r="G30" t="s">
        <v>469</v>
      </c>
      <c r="H30" t="s">
        <v>168</v>
      </c>
      <c r="I30" t="s">
        <v>65</v>
      </c>
      <c r="J30" t="s">
        <v>43</v>
      </c>
      <c r="K30" t="s">
        <v>169</v>
      </c>
    </row>
    <row r="31" spans="1:11" x14ac:dyDescent="0.3">
      <c r="A31">
        <v>129</v>
      </c>
      <c r="B31" t="s">
        <v>170</v>
      </c>
      <c r="C31" t="s">
        <v>171</v>
      </c>
      <c r="D31" t="s">
        <v>172</v>
      </c>
      <c r="E31" t="s">
        <v>47</v>
      </c>
      <c r="F31" t="s">
        <v>48</v>
      </c>
      <c r="G31" t="s">
        <v>481</v>
      </c>
      <c r="H31" t="s">
        <v>173</v>
      </c>
      <c r="I31" t="s">
        <v>65</v>
      </c>
      <c r="J31" t="s">
        <v>69</v>
      </c>
      <c r="K31" t="s">
        <v>174</v>
      </c>
    </row>
    <row r="32" spans="1:11" x14ac:dyDescent="0.3">
      <c r="A32">
        <v>130</v>
      </c>
      <c r="B32" t="s">
        <v>175</v>
      </c>
      <c r="C32" t="s">
        <v>176</v>
      </c>
      <c r="D32" t="s">
        <v>177</v>
      </c>
      <c r="E32" t="s">
        <v>40</v>
      </c>
      <c r="F32" t="s">
        <v>41</v>
      </c>
      <c r="G32" t="s">
        <v>473</v>
      </c>
      <c r="H32" t="s">
        <v>474</v>
      </c>
      <c r="I32" t="s">
        <v>65</v>
      </c>
      <c r="J32" t="s">
        <v>36</v>
      </c>
      <c r="K32" t="s">
        <v>474</v>
      </c>
    </row>
    <row r="33" spans="1:14" x14ac:dyDescent="0.3">
      <c r="A33">
        <v>131</v>
      </c>
      <c r="B33" t="s">
        <v>178</v>
      </c>
      <c r="C33" t="s">
        <v>179</v>
      </c>
      <c r="D33" t="s">
        <v>492</v>
      </c>
      <c r="E33" t="s">
        <v>166</v>
      </c>
      <c r="F33" t="s">
        <v>27</v>
      </c>
      <c r="G33" t="s">
        <v>476</v>
      </c>
      <c r="H33" t="s">
        <v>180</v>
      </c>
      <c r="I33" t="s">
        <v>35</v>
      </c>
      <c r="J33" t="s">
        <v>29</v>
      </c>
      <c r="K33" t="s">
        <v>181</v>
      </c>
    </row>
    <row r="34" spans="1:14" x14ac:dyDescent="0.3">
      <c r="A34">
        <v>132</v>
      </c>
      <c r="B34" t="s">
        <v>182</v>
      </c>
      <c r="C34" t="s">
        <v>183</v>
      </c>
      <c r="D34" t="s">
        <v>493</v>
      </c>
      <c r="E34" t="s">
        <v>132</v>
      </c>
      <c r="F34" t="s">
        <v>133</v>
      </c>
      <c r="G34" t="s">
        <v>475</v>
      </c>
      <c r="H34" t="s">
        <v>184</v>
      </c>
      <c r="I34" t="s">
        <v>35</v>
      </c>
      <c r="J34" t="s">
        <v>43</v>
      </c>
      <c r="K34" t="s">
        <v>184</v>
      </c>
    </row>
    <row r="35" spans="1:14" x14ac:dyDescent="0.3">
      <c r="A35">
        <v>133</v>
      </c>
      <c r="B35" t="s">
        <v>185</v>
      </c>
      <c r="C35" t="s">
        <v>186</v>
      </c>
      <c r="D35" t="s">
        <v>494</v>
      </c>
      <c r="E35" t="s">
        <v>54</v>
      </c>
      <c r="F35" t="s">
        <v>187</v>
      </c>
      <c r="G35" t="s">
        <v>476</v>
      </c>
      <c r="H35" t="s">
        <v>188</v>
      </c>
      <c r="I35" t="s">
        <v>78</v>
      </c>
      <c r="J35" t="s">
        <v>29</v>
      </c>
      <c r="K35" t="s">
        <v>189</v>
      </c>
    </row>
    <row r="36" spans="1:14" x14ac:dyDescent="0.3">
      <c r="A36">
        <v>134</v>
      </c>
      <c r="B36" t="s">
        <v>190</v>
      </c>
      <c r="C36" t="s">
        <v>191</v>
      </c>
      <c r="D36" t="s">
        <v>495</v>
      </c>
      <c r="E36" t="s">
        <v>192</v>
      </c>
      <c r="F36" t="s">
        <v>95</v>
      </c>
      <c r="G36" t="s">
        <v>496</v>
      </c>
      <c r="H36" t="s">
        <v>193</v>
      </c>
      <c r="I36" t="s">
        <v>35</v>
      </c>
      <c r="J36" t="s">
        <v>29</v>
      </c>
      <c r="K36" t="s">
        <v>194</v>
      </c>
    </row>
    <row r="37" spans="1:14" x14ac:dyDescent="0.3">
      <c r="A37">
        <v>135</v>
      </c>
      <c r="B37" t="s">
        <v>195</v>
      </c>
      <c r="C37" t="s">
        <v>196</v>
      </c>
      <c r="D37" t="s">
        <v>489</v>
      </c>
      <c r="E37" t="s">
        <v>197</v>
      </c>
      <c r="F37" t="s">
        <v>167</v>
      </c>
      <c r="G37" t="s">
        <v>481</v>
      </c>
      <c r="H37" t="s">
        <v>198</v>
      </c>
      <c r="I37" t="s">
        <v>28</v>
      </c>
      <c r="J37" t="s">
        <v>60</v>
      </c>
      <c r="K37" t="s">
        <v>199</v>
      </c>
    </row>
    <row r="38" spans="1:14" x14ac:dyDescent="0.3">
      <c r="A38">
        <v>136</v>
      </c>
      <c r="B38" t="s">
        <v>200</v>
      </c>
      <c r="C38" t="s">
        <v>201</v>
      </c>
      <c r="D38" t="s">
        <v>497</v>
      </c>
      <c r="E38" t="s">
        <v>202</v>
      </c>
      <c r="F38" t="s">
        <v>474</v>
      </c>
      <c r="G38" t="s">
        <v>475</v>
      </c>
      <c r="H38" t="s">
        <v>203</v>
      </c>
      <c r="I38" t="s">
        <v>78</v>
      </c>
      <c r="J38" t="s">
        <v>43</v>
      </c>
      <c r="K38" t="s">
        <v>203</v>
      </c>
    </row>
    <row r="39" spans="1:14" x14ac:dyDescent="0.3">
      <c r="A39">
        <v>137</v>
      </c>
      <c r="B39" t="s">
        <v>204</v>
      </c>
      <c r="C39" t="s">
        <v>205</v>
      </c>
      <c r="D39" t="s">
        <v>206</v>
      </c>
      <c r="E39" t="s">
        <v>146</v>
      </c>
      <c r="F39" t="s">
        <v>27</v>
      </c>
      <c r="G39" t="s">
        <v>469</v>
      </c>
      <c r="H39" t="s">
        <v>498</v>
      </c>
      <c r="I39" t="s">
        <v>28</v>
      </c>
      <c r="J39" t="s">
        <v>43</v>
      </c>
      <c r="K39" t="s">
        <v>499</v>
      </c>
    </row>
    <row r="40" spans="1:14" x14ac:dyDescent="0.3">
      <c r="A40">
        <v>138</v>
      </c>
      <c r="B40" t="s">
        <v>207</v>
      </c>
      <c r="C40" t="s">
        <v>208</v>
      </c>
      <c r="D40" t="s">
        <v>500</v>
      </c>
      <c r="E40" t="s">
        <v>166</v>
      </c>
      <c r="F40" t="s">
        <v>27</v>
      </c>
      <c r="G40" t="s">
        <v>475</v>
      </c>
      <c r="H40" t="s">
        <v>209</v>
      </c>
      <c r="I40" t="s">
        <v>35</v>
      </c>
      <c r="J40" t="s">
        <v>36</v>
      </c>
      <c r="K40" t="s">
        <v>209</v>
      </c>
    </row>
    <row r="41" spans="1:14" x14ac:dyDescent="0.3">
      <c r="A41">
        <v>139</v>
      </c>
      <c r="B41" t="s">
        <v>210</v>
      </c>
      <c r="C41" t="s">
        <v>211</v>
      </c>
      <c r="D41" t="s">
        <v>489</v>
      </c>
      <c r="E41" t="s">
        <v>32</v>
      </c>
      <c r="F41" t="s">
        <v>33</v>
      </c>
      <c r="G41" t="s">
        <v>473</v>
      </c>
      <c r="H41" t="s">
        <v>212</v>
      </c>
      <c r="I41" t="s">
        <v>78</v>
      </c>
      <c r="J41" t="s">
        <v>60</v>
      </c>
      <c r="K41" t="s">
        <v>213</v>
      </c>
    </row>
    <row r="42" spans="1:14" x14ac:dyDescent="0.3">
      <c r="A42">
        <v>140</v>
      </c>
      <c r="B42" t="s">
        <v>214</v>
      </c>
      <c r="C42" t="s">
        <v>215</v>
      </c>
      <c r="D42" t="s">
        <v>216</v>
      </c>
      <c r="E42" t="s">
        <v>101</v>
      </c>
      <c r="F42" t="s">
        <v>48</v>
      </c>
      <c r="G42" t="s">
        <v>481</v>
      </c>
      <c r="H42" t="s">
        <v>217</v>
      </c>
      <c r="I42" t="s">
        <v>78</v>
      </c>
      <c r="J42" t="s">
        <v>69</v>
      </c>
      <c r="K42" t="s">
        <v>218</v>
      </c>
    </row>
    <row r="43" spans="1:14" x14ac:dyDescent="0.3">
      <c r="A43">
        <v>141</v>
      </c>
      <c r="B43" t="s">
        <v>219</v>
      </c>
      <c r="C43" t="s">
        <v>220</v>
      </c>
      <c r="D43" t="s">
        <v>221</v>
      </c>
      <c r="E43" t="s">
        <v>101</v>
      </c>
      <c r="F43" t="s">
        <v>48</v>
      </c>
      <c r="G43" t="s">
        <v>469</v>
      </c>
      <c r="H43" t="s">
        <v>222</v>
      </c>
      <c r="I43" t="s">
        <v>28</v>
      </c>
      <c r="J43" t="s">
        <v>69</v>
      </c>
      <c r="K43" t="s">
        <v>223</v>
      </c>
    </row>
    <row r="44" spans="1:14" x14ac:dyDescent="0.3">
      <c r="A44">
        <v>142</v>
      </c>
      <c r="B44" t="s">
        <v>224</v>
      </c>
      <c r="C44" t="s">
        <v>225</v>
      </c>
      <c r="D44" t="s">
        <v>114</v>
      </c>
      <c r="E44" t="s">
        <v>94</v>
      </c>
      <c r="F44" t="s">
        <v>95</v>
      </c>
      <c r="G44" t="s">
        <v>476</v>
      </c>
      <c r="H44" t="s">
        <v>226</v>
      </c>
      <c r="I44" t="s">
        <v>78</v>
      </c>
      <c r="J44" t="s">
        <v>29</v>
      </c>
      <c r="K44" t="s">
        <v>227</v>
      </c>
      <c r="N44">
        <f>5*645.26</f>
        <v>3226.3</v>
      </c>
    </row>
    <row r="45" spans="1:14" x14ac:dyDescent="0.3">
      <c r="A45">
        <v>143</v>
      </c>
      <c r="B45" t="s">
        <v>228</v>
      </c>
      <c r="C45" t="s">
        <v>229</v>
      </c>
      <c r="D45" t="s">
        <v>501</v>
      </c>
      <c r="E45" t="s">
        <v>192</v>
      </c>
      <c r="F45" t="s">
        <v>95</v>
      </c>
      <c r="G45" t="s">
        <v>476</v>
      </c>
      <c r="H45" t="s">
        <v>230</v>
      </c>
      <c r="I45" t="s">
        <v>65</v>
      </c>
      <c r="J45" t="s">
        <v>60</v>
      </c>
      <c r="K45" t="s">
        <v>231</v>
      </c>
    </row>
    <row r="46" spans="1:14" x14ac:dyDescent="0.3">
      <c r="A46">
        <v>144</v>
      </c>
      <c r="B46" t="s">
        <v>232</v>
      </c>
      <c r="C46" t="s">
        <v>233</v>
      </c>
      <c r="D46" t="s">
        <v>234</v>
      </c>
      <c r="E46" t="s">
        <v>235</v>
      </c>
      <c r="F46" t="s">
        <v>41</v>
      </c>
      <c r="G46" t="s">
        <v>476</v>
      </c>
      <c r="H46" t="s">
        <v>236</v>
      </c>
      <c r="I46" t="s">
        <v>65</v>
      </c>
      <c r="J46" t="s">
        <v>36</v>
      </c>
      <c r="K46" t="s">
        <v>237</v>
      </c>
    </row>
    <row r="47" spans="1:14" x14ac:dyDescent="0.3">
      <c r="A47">
        <v>145</v>
      </c>
      <c r="B47" t="s">
        <v>238</v>
      </c>
      <c r="C47" t="s">
        <v>239</v>
      </c>
      <c r="D47" t="s">
        <v>502</v>
      </c>
      <c r="E47" t="s">
        <v>240</v>
      </c>
      <c r="F47" t="s">
        <v>33</v>
      </c>
      <c r="G47" t="s">
        <v>473</v>
      </c>
      <c r="H47" t="s">
        <v>241</v>
      </c>
      <c r="I47" t="s">
        <v>65</v>
      </c>
      <c r="J47" t="s">
        <v>69</v>
      </c>
      <c r="K47" t="s">
        <v>242</v>
      </c>
    </row>
    <row r="48" spans="1:14" x14ac:dyDescent="0.3">
      <c r="A48">
        <v>146</v>
      </c>
      <c r="B48" t="s">
        <v>243</v>
      </c>
      <c r="C48" t="s">
        <v>244</v>
      </c>
      <c r="D48" t="s">
        <v>503</v>
      </c>
      <c r="E48" t="s">
        <v>83</v>
      </c>
      <c r="F48" t="s">
        <v>118</v>
      </c>
      <c r="G48" t="s">
        <v>473</v>
      </c>
      <c r="H48" t="s">
        <v>245</v>
      </c>
      <c r="I48" t="s">
        <v>65</v>
      </c>
      <c r="J48" t="s">
        <v>36</v>
      </c>
      <c r="K48" t="s">
        <v>246</v>
      </c>
    </row>
    <row r="49" spans="1:11" x14ac:dyDescent="0.3">
      <c r="A49">
        <v>147</v>
      </c>
      <c r="B49" t="s">
        <v>247</v>
      </c>
      <c r="C49" t="s">
        <v>248</v>
      </c>
      <c r="D49" t="s">
        <v>504</v>
      </c>
      <c r="E49" t="s">
        <v>249</v>
      </c>
      <c r="F49" t="s">
        <v>95</v>
      </c>
      <c r="G49" t="s">
        <v>481</v>
      </c>
      <c r="H49" t="s">
        <v>250</v>
      </c>
      <c r="I49" t="s">
        <v>28</v>
      </c>
      <c r="J49" t="s">
        <v>29</v>
      </c>
      <c r="K49" t="s">
        <v>251</v>
      </c>
    </row>
    <row r="50" spans="1:11" x14ac:dyDescent="0.3">
      <c r="A50">
        <v>148</v>
      </c>
      <c r="B50" t="s">
        <v>252</v>
      </c>
      <c r="C50" t="s">
        <v>253</v>
      </c>
      <c r="D50" t="s">
        <v>254</v>
      </c>
      <c r="E50" t="s">
        <v>40</v>
      </c>
      <c r="F50" t="s">
        <v>41</v>
      </c>
      <c r="G50" t="s">
        <v>475</v>
      </c>
      <c r="H50" t="s">
        <v>255</v>
      </c>
      <c r="I50" t="s">
        <v>28</v>
      </c>
      <c r="J50" t="s">
        <v>69</v>
      </c>
      <c r="K50" t="s">
        <v>255</v>
      </c>
    </row>
    <row r="51" spans="1:11" x14ac:dyDescent="0.3">
      <c r="A51">
        <v>149</v>
      </c>
      <c r="B51" t="s">
        <v>256</v>
      </c>
      <c r="C51" t="s">
        <v>257</v>
      </c>
      <c r="D51" t="s">
        <v>258</v>
      </c>
      <c r="E51" t="s">
        <v>89</v>
      </c>
      <c r="F51" t="s">
        <v>48</v>
      </c>
      <c r="G51" t="s">
        <v>476</v>
      </c>
      <c r="H51" t="s">
        <v>259</v>
      </c>
      <c r="I51" t="s">
        <v>65</v>
      </c>
      <c r="J51" t="s">
        <v>60</v>
      </c>
      <c r="K51" t="s">
        <v>260</v>
      </c>
    </row>
    <row r="52" spans="1:11" x14ac:dyDescent="0.3">
      <c r="A52">
        <v>150</v>
      </c>
      <c r="B52" t="s">
        <v>261</v>
      </c>
      <c r="C52" t="s">
        <v>262</v>
      </c>
      <c r="D52" t="s">
        <v>263</v>
      </c>
      <c r="E52" t="s">
        <v>132</v>
      </c>
      <c r="F52" t="s">
        <v>41</v>
      </c>
      <c r="G52" t="s">
        <v>475</v>
      </c>
      <c r="H52" t="s">
        <v>264</v>
      </c>
      <c r="I52" t="s">
        <v>78</v>
      </c>
      <c r="J52" t="s">
        <v>69</v>
      </c>
      <c r="K52" t="s">
        <v>264</v>
      </c>
    </row>
    <row r="53" spans="1:11" x14ac:dyDescent="0.3">
      <c r="A53">
        <v>151</v>
      </c>
      <c r="B53" t="s">
        <v>265</v>
      </c>
      <c r="C53" t="s">
        <v>266</v>
      </c>
      <c r="D53" t="s">
        <v>505</v>
      </c>
      <c r="E53" t="s">
        <v>89</v>
      </c>
      <c r="F53" t="s">
        <v>48</v>
      </c>
      <c r="G53" t="s">
        <v>473</v>
      </c>
      <c r="H53" t="s">
        <v>267</v>
      </c>
      <c r="I53" t="s">
        <v>35</v>
      </c>
      <c r="J53" t="s">
        <v>36</v>
      </c>
      <c r="K53" t="s">
        <v>268</v>
      </c>
    </row>
    <row r="54" spans="1:11" x14ac:dyDescent="0.3">
      <c r="A54">
        <v>152</v>
      </c>
      <c r="B54" t="s">
        <v>269</v>
      </c>
      <c r="C54" t="s">
        <v>270</v>
      </c>
      <c r="D54" t="s">
        <v>271</v>
      </c>
      <c r="E54" t="s">
        <v>166</v>
      </c>
      <c r="F54" t="s">
        <v>27</v>
      </c>
      <c r="G54" t="s">
        <v>469</v>
      </c>
      <c r="H54" t="s">
        <v>272</v>
      </c>
      <c r="I54" t="s">
        <v>35</v>
      </c>
      <c r="J54" t="s">
        <v>69</v>
      </c>
      <c r="K54" t="s">
        <v>273</v>
      </c>
    </row>
    <row r="55" spans="1:11" x14ac:dyDescent="0.3">
      <c r="A55">
        <v>153</v>
      </c>
      <c r="B55" t="s">
        <v>274</v>
      </c>
      <c r="C55" t="s">
        <v>275</v>
      </c>
      <c r="D55" t="s">
        <v>276</v>
      </c>
      <c r="E55" t="s">
        <v>132</v>
      </c>
      <c r="F55" t="s">
        <v>41</v>
      </c>
      <c r="G55" t="s">
        <v>481</v>
      </c>
      <c r="H55" t="s">
        <v>277</v>
      </c>
      <c r="I55" t="s">
        <v>28</v>
      </c>
      <c r="J55" t="s">
        <v>36</v>
      </c>
      <c r="K55" t="s">
        <v>278</v>
      </c>
    </row>
    <row r="56" spans="1:11" x14ac:dyDescent="0.3">
      <c r="A56">
        <v>154</v>
      </c>
      <c r="B56" t="s">
        <v>279</v>
      </c>
      <c r="C56" t="s">
        <v>280</v>
      </c>
      <c r="D56" t="s">
        <v>281</v>
      </c>
      <c r="E56" t="s">
        <v>26</v>
      </c>
      <c r="F56" t="s">
        <v>27</v>
      </c>
      <c r="G56" t="s">
        <v>476</v>
      </c>
      <c r="H56" t="s">
        <v>282</v>
      </c>
      <c r="I56" t="s">
        <v>28</v>
      </c>
      <c r="J56" t="s">
        <v>60</v>
      </c>
      <c r="K56" t="s">
        <v>283</v>
      </c>
    </row>
    <row r="57" spans="1:11" x14ac:dyDescent="0.3">
      <c r="A57">
        <v>155</v>
      </c>
      <c r="B57" t="s">
        <v>284</v>
      </c>
      <c r="C57" t="s">
        <v>285</v>
      </c>
      <c r="D57" t="s">
        <v>504</v>
      </c>
      <c r="E57" t="s">
        <v>286</v>
      </c>
      <c r="F57" t="s">
        <v>95</v>
      </c>
      <c r="G57" t="s">
        <v>475</v>
      </c>
      <c r="H57" t="s">
        <v>287</v>
      </c>
      <c r="I57" t="s">
        <v>35</v>
      </c>
      <c r="J57" t="s">
        <v>69</v>
      </c>
      <c r="K57" t="s">
        <v>287</v>
      </c>
    </row>
    <row r="58" spans="1:11" x14ac:dyDescent="0.3">
      <c r="A58">
        <v>156</v>
      </c>
      <c r="B58" t="s">
        <v>288</v>
      </c>
      <c r="C58" t="s">
        <v>289</v>
      </c>
      <c r="D58" t="s">
        <v>290</v>
      </c>
      <c r="E58" t="s">
        <v>291</v>
      </c>
      <c r="F58" t="s">
        <v>95</v>
      </c>
      <c r="G58" t="s">
        <v>473</v>
      </c>
      <c r="H58" t="s">
        <v>474</v>
      </c>
      <c r="I58" t="s">
        <v>65</v>
      </c>
      <c r="J58" t="s">
        <v>29</v>
      </c>
      <c r="K58" t="s">
        <v>474</v>
      </c>
    </row>
    <row r="59" spans="1:11" x14ac:dyDescent="0.3">
      <c r="A59">
        <v>157</v>
      </c>
      <c r="B59" t="s">
        <v>292</v>
      </c>
      <c r="C59" t="s">
        <v>293</v>
      </c>
      <c r="D59" t="s">
        <v>506</v>
      </c>
      <c r="E59" t="s">
        <v>249</v>
      </c>
      <c r="F59" t="s">
        <v>95</v>
      </c>
      <c r="G59" t="s">
        <v>481</v>
      </c>
      <c r="H59" t="s">
        <v>294</v>
      </c>
      <c r="I59" t="s">
        <v>65</v>
      </c>
      <c r="J59" t="s">
        <v>36</v>
      </c>
      <c r="K59" t="s">
        <v>295</v>
      </c>
    </row>
    <row r="60" spans="1:11" x14ac:dyDescent="0.3">
      <c r="A60">
        <v>158</v>
      </c>
      <c r="B60" t="s">
        <v>296</v>
      </c>
      <c r="C60" t="s">
        <v>297</v>
      </c>
      <c r="D60" t="s">
        <v>507</v>
      </c>
      <c r="E60" t="s">
        <v>197</v>
      </c>
      <c r="F60" t="s">
        <v>33</v>
      </c>
      <c r="G60" t="s">
        <v>475</v>
      </c>
      <c r="H60" t="s">
        <v>298</v>
      </c>
      <c r="I60" t="s">
        <v>28</v>
      </c>
      <c r="J60" t="s">
        <v>29</v>
      </c>
      <c r="K60" t="s">
        <v>298</v>
      </c>
    </row>
    <row r="61" spans="1:11" x14ac:dyDescent="0.3">
      <c r="A61">
        <v>159</v>
      </c>
      <c r="B61" t="s">
        <v>299</v>
      </c>
      <c r="C61" t="s">
        <v>300</v>
      </c>
      <c r="D61" t="s">
        <v>301</v>
      </c>
      <c r="E61" t="s">
        <v>115</v>
      </c>
      <c r="F61" t="s">
        <v>27</v>
      </c>
      <c r="G61" t="s">
        <v>469</v>
      </c>
      <c r="H61" t="s">
        <v>302</v>
      </c>
      <c r="I61" t="s">
        <v>35</v>
      </c>
      <c r="J61" t="s">
        <v>29</v>
      </c>
      <c r="K61" t="s">
        <v>303</v>
      </c>
    </row>
    <row r="62" spans="1:11" x14ac:dyDescent="0.3">
      <c r="A62">
        <v>160</v>
      </c>
      <c r="B62" t="s">
        <v>304</v>
      </c>
      <c r="C62" t="s">
        <v>305</v>
      </c>
      <c r="D62" t="s">
        <v>478</v>
      </c>
      <c r="E62" t="s">
        <v>47</v>
      </c>
      <c r="F62" t="s">
        <v>48</v>
      </c>
      <c r="G62" t="s">
        <v>476</v>
      </c>
      <c r="H62" t="s">
        <v>306</v>
      </c>
      <c r="I62" t="s">
        <v>28</v>
      </c>
      <c r="J62" t="s">
        <v>69</v>
      </c>
      <c r="K62" t="s">
        <v>307</v>
      </c>
    </row>
    <row r="63" spans="1:11" x14ac:dyDescent="0.3">
      <c r="A63">
        <v>161</v>
      </c>
      <c r="B63" t="s">
        <v>308</v>
      </c>
      <c r="C63" t="s">
        <v>309</v>
      </c>
      <c r="D63" t="s">
        <v>310</v>
      </c>
      <c r="E63" t="s">
        <v>47</v>
      </c>
      <c r="F63" t="s">
        <v>48</v>
      </c>
      <c r="G63" t="s">
        <v>481</v>
      </c>
      <c r="H63" t="s">
        <v>311</v>
      </c>
      <c r="I63" t="s">
        <v>65</v>
      </c>
      <c r="J63" t="s">
        <v>29</v>
      </c>
      <c r="K63" t="s">
        <v>312</v>
      </c>
    </row>
    <row r="64" spans="1:11" x14ac:dyDescent="0.3">
      <c r="A64">
        <v>162</v>
      </c>
      <c r="B64" t="s">
        <v>313</v>
      </c>
      <c r="C64" t="s">
        <v>314</v>
      </c>
      <c r="D64" t="s">
        <v>315</v>
      </c>
      <c r="E64" t="s">
        <v>26</v>
      </c>
      <c r="F64" t="s">
        <v>27</v>
      </c>
      <c r="G64" t="s">
        <v>473</v>
      </c>
      <c r="H64" t="s">
        <v>316</v>
      </c>
      <c r="I64" t="s">
        <v>78</v>
      </c>
      <c r="J64" t="s">
        <v>69</v>
      </c>
      <c r="K64" t="s">
        <v>317</v>
      </c>
    </row>
    <row r="65" spans="1:11" x14ac:dyDescent="0.3">
      <c r="A65">
        <v>163</v>
      </c>
      <c r="B65" t="s">
        <v>318</v>
      </c>
      <c r="C65" t="s">
        <v>319</v>
      </c>
      <c r="D65" t="s">
        <v>508</v>
      </c>
      <c r="E65" t="s">
        <v>197</v>
      </c>
      <c r="F65" t="s">
        <v>33</v>
      </c>
      <c r="G65" t="s">
        <v>469</v>
      </c>
      <c r="H65" t="s">
        <v>320</v>
      </c>
      <c r="I65" t="s">
        <v>28</v>
      </c>
      <c r="J65" t="s">
        <v>29</v>
      </c>
      <c r="K65" t="s">
        <v>321</v>
      </c>
    </row>
    <row r="66" spans="1:11" x14ac:dyDescent="0.3">
      <c r="A66">
        <v>164</v>
      </c>
      <c r="B66" t="s">
        <v>322</v>
      </c>
      <c r="C66" t="s">
        <v>323</v>
      </c>
      <c r="D66" t="s">
        <v>489</v>
      </c>
      <c r="E66" t="s">
        <v>40</v>
      </c>
      <c r="F66" t="s">
        <v>41</v>
      </c>
      <c r="G66" t="s">
        <v>474</v>
      </c>
      <c r="H66" t="s">
        <v>324</v>
      </c>
      <c r="I66" t="s">
        <v>78</v>
      </c>
      <c r="J66" t="s">
        <v>69</v>
      </c>
      <c r="K66" t="s">
        <v>474</v>
      </c>
    </row>
    <row r="67" spans="1:11" x14ac:dyDescent="0.3">
      <c r="A67">
        <v>165</v>
      </c>
      <c r="B67" t="s">
        <v>325</v>
      </c>
      <c r="C67" t="s">
        <v>326</v>
      </c>
      <c r="D67" t="s">
        <v>509</v>
      </c>
      <c r="E67" t="s">
        <v>94</v>
      </c>
      <c r="F67" t="s">
        <v>95</v>
      </c>
      <c r="G67" t="s">
        <v>473</v>
      </c>
      <c r="H67" t="s">
        <v>327</v>
      </c>
      <c r="I67" t="s">
        <v>78</v>
      </c>
      <c r="J67" t="s">
        <v>43</v>
      </c>
      <c r="K67" t="s">
        <v>328</v>
      </c>
    </row>
    <row r="68" spans="1:11" x14ac:dyDescent="0.3">
      <c r="A68">
        <v>166</v>
      </c>
      <c r="B68" t="s">
        <v>329</v>
      </c>
      <c r="C68" t="s">
        <v>330</v>
      </c>
      <c r="D68" t="s">
        <v>510</v>
      </c>
      <c r="E68" t="s">
        <v>192</v>
      </c>
      <c r="F68" t="s">
        <v>167</v>
      </c>
      <c r="G68" t="s">
        <v>473</v>
      </c>
      <c r="H68" t="s">
        <v>331</v>
      </c>
      <c r="I68" t="s">
        <v>28</v>
      </c>
      <c r="J68" t="s">
        <v>29</v>
      </c>
      <c r="K68" t="s">
        <v>332</v>
      </c>
    </row>
    <row r="69" spans="1:11" x14ac:dyDescent="0.3">
      <c r="A69">
        <v>167</v>
      </c>
      <c r="B69" t="s">
        <v>333</v>
      </c>
      <c r="C69" t="s">
        <v>334</v>
      </c>
      <c r="D69" t="s">
        <v>511</v>
      </c>
      <c r="E69" t="s">
        <v>83</v>
      </c>
      <c r="F69" t="s">
        <v>41</v>
      </c>
      <c r="G69" t="s">
        <v>474</v>
      </c>
      <c r="H69" t="s">
        <v>335</v>
      </c>
      <c r="I69" t="s">
        <v>28</v>
      </c>
      <c r="J69" t="s">
        <v>36</v>
      </c>
      <c r="K69" t="s">
        <v>474</v>
      </c>
    </row>
    <row r="70" spans="1:11" x14ac:dyDescent="0.3">
      <c r="A70">
        <v>168</v>
      </c>
      <c r="B70" t="s">
        <v>336</v>
      </c>
      <c r="C70" t="s">
        <v>337</v>
      </c>
      <c r="D70" t="s">
        <v>512</v>
      </c>
      <c r="E70" t="s">
        <v>54</v>
      </c>
      <c r="F70" t="s">
        <v>48</v>
      </c>
      <c r="G70" t="s">
        <v>473</v>
      </c>
      <c r="H70" t="s">
        <v>338</v>
      </c>
      <c r="I70" t="s">
        <v>35</v>
      </c>
      <c r="J70" t="s">
        <v>60</v>
      </c>
      <c r="K70" t="s">
        <v>339</v>
      </c>
    </row>
    <row r="71" spans="1:11" x14ac:dyDescent="0.3">
      <c r="A71">
        <v>169</v>
      </c>
      <c r="B71" t="s">
        <v>340</v>
      </c>
      <c r="C71" t="s">
        <v>341</v>
      </c>
      <c r="D71" t="s">
        <v>513</v>
      </c>
      <c r="E71" t="s">
        <v>83</v>
      </c>
      <c r="F71" t="s">
        <v>41</v>
      </c>
      <c r="G71" t="s">
        <v>475</v>
      </c>
      <c r="H71" t="s">
        <v>342</v>
      </c>
      <c r="I71" t="s">
        <v>78</v>
      </c>
      <c r="J71" t="s">
        <v>69</v>
      </c>
      <c r="K71" t="s">
        <v>342</v>
      </c>
    </row>
    <row r="72" spans="1:11" x14ac:dyDescent="0.3">
      <c r="A72">
        <v>170</v>
      </c>
      <c r="B72" t="s">
        <v>343</v>
      </c>
      <c r="C72" t="s">
        <v>344</v>
      </c>
      <c r="D72" t="s">
        <v>514</v>
      </c>
      <c r="E72" t="s">
        <v>291</v>
      </c>
      <c r="F72" t="s">
        <v>95</v>
      </c>
      <c r="G72" t="s">
        <v>476</v>
      </c>
      <c r="H72" t="s">
        <v>345</v>
      </c>
      <c r="I72" t="s">
        <v>65</v>
      </c>
      <c r="J72" t="s">
        <v>36</v>
      </c>
      <c r="K72" t="s">
        <v>346</v>
      </c>
    </row>
    <row r="73" spans="1:11" x14ac:dyDescent="0.3">
      <c r="A73">
        <v>171</v>
      </c>
      <c r="B73" t="s">
        <v>347</v>
      </c>
      <c r="C73" t="s">
        <v>348</v>
      </c>
      <c r="D73" t="s">
        <v>515</v>
      </c>
      <c r="E73" t="s">
        <v>94</v>
      </c>
      <c r="F73" t="s">
        <v>95</v>
      </c>
      <c r="G73" t="s">
        <v>469</v>
      </c>
      <c r="H73" t="s">
        <v>349</v>
      </c>
      <c r="I73" t="s">
        <v>35</v>
      </c>
      <c r="J73" t="s">
        <v>36</v>
      </c>
      <c r="K73" t="s">
        <v>350</v>
      </c>
    </row>
    <row r="74" spans="1:11" x14ac:dyDescent="0.3">
      <c r="A74">
        <v>172</v>
      </c>
      <c r="B74" t="s">
        <v>351</v>
      </c>
      <c r="C74" t="s">
        <v>352</v>
      </c>
      <c r="D74" t="s">
        <v>353</v>
      </c>
      <c r="E74" t="s">
        <v>89</v>
      </c>
      <c r="F74" t="s">
        <v>48</v>
      </c>
      <c r="G74" t="s">
        <v>473</v>
      </c>
      <c r="H74" t="s">
        <v>354</v>
      </c>
      <c r="I74" t="s">
        <v>65</v>
      </c>
      <c r="J74" t="s">
        <v>69</v>
      </c>
      <c r="K74" t="s">
        <v>355</v>
      </c>
    </row>
    <row r="75" spans="1:11" x14ac:dyDescent="0.3">
      <c r="A75">
        <v>173</v>
      </c>
      <c r="B75" t="s">
        <v>356</v>
      </c>
      <c r="C75" t="s">
        <v>357</v>
      </c>
      <c r="D75" t="s">
        <v>487</v>
      </c>
      <c r="E75" t="s">
        <v>166</v>
      </c>
      <c r="F75" t="s">
        <v>27</v>
      </c>
      <c r="G75" t="s">
        <v>476</v>
      </c>
      <c r="H75" t="s">
        <v>358</v>
      </c>
      <c r="I75" t="s">
        <v>78</v>
      </c>
      <c r="J75" t="s">
        <v>29</v>
      </c>
      <c r="K75" t="s">
        <v>359</v>
      </c>
    </row>
    <row r="76" spans="1:11" x14ac:dyDescent="0.3">
      <c r="A76">
        <v>174</v>
      </c>
      <c r="B76" t="s">
        <v>360</v>
      </c>
      <c r="C76" t="s">
        <v>361</v>
      </c>
      <c r="D76" t="s">
        <v>362</v>
      </c>
      <c r="E76" t="s">
        <v>115</v>
      </c>
      <c r="F76" t="s">
        <v>133</v>
      </c>
      <c r="G76" t="s">
        <v>481</v>
      </c>
      <c r="H76" t="s">
        <v>363</v>
      </c>
      <c r="I76" t="s">
        <v>78</v>
      </c>
      <c r="J76" t="s">
        <v>69</v>
      </c>
      <c r="K76" t="s">
        <v>364</v>
      </c>
    </row>
    <row r="77" spans="1:11" x14ac:dyDescent="0.3">
      <c r="A77">
        <v>175</v>
      </c>
      <c r="B77" t="s">
        <v>365</v>
      </c>
      <c r="C77" t="s">
        <v>366</v>
      </c>
      <c r="D77" t="s">
        <v>367</v>
      </c>
      <c r="E77" t="s">
        <v>202</v>
      </c>
      <c r="F77" t="s">
        <v>33</v>
      </c>
      <c r="G77" t="s">
        <v>475</v>
      </c>
      <c r="H77" t="s">
        <v>368</v>
      </c>
      <c r="I77" t="s">
        <v>78</v>
      </c>
      <c r="J77" t="s">
        <v>36</v>
      </c>
      <c r="K77" t="s">
        <v>368</v>
      </c>
    </row>
    <row r="78" spans="1:11" x14ac:dyDescent="0.3">
      <c r="A78">
        <v>176</v>
      </c>
      <c r="B78" t="s">
        <v>369</v>
      </c>
      <c r="C78" t="s">
        <v>370</v>
      </c>
      <c r="D78" t="s">
        <v>371</v>
      </c>
      <c r="E78" t="s">
        <v>89</v>
      </c>
      <c r="F78" t="s">
        <v>48</v>
      </c>
      <c r="G78" t="s">
        <v>476</v>
      </c>
      <c r="H78" t="s">
        <v>372</v>
      </c>
      <c r="I78" t="s">
        <v>28</v>
      </c>
      <c r="J78" t="s">
        <v>29</v>
      </c>
      <c r="K78" t="s">
        <v>373</v>
      </c>
    </row>
    <row r="79" spans="1:11" x14ac:dyDescent="0.3">
      <c r="A79">
        <v>177</v>
      </c>
      <c r="B79" t="s">
        <v>374</v>
      </c>
      <c r="C79" t="s">
        <v>375</v>
      </c>
      <c r="D79" t="s">
        <v>301</v>
      </c>
      <c r="E79" t="s">
        <v>240</v>
      </c>
      <c r="F79" t="s">
        <v>33</v>
      </c>
      <c r="G79" t="s">
        <v>475</v>
      </c>
      <c r="H79" t="s">
        <v>376</v>
      </c>
      <c r="I79" t="s">
        <v>65</v>
      </c>
      <c r="J79" t="s">
        <v>69</v>
      </c>
      <c r="K79" t="s">
        <v>376</v>
      </c>
    </row>
    <row r="80" spans="1:11" x14ac:dyDescent="0.3">
      <c r="A80">
        <v>178</v>
      </c>
      <c r="B80" t="s">
        <v>377</v>
      </c>
      <c r="C80" t="s">
        <v>378</v>
      </c>
      <c r="D80" t="s">
        <v>379</v>
      </c>
      <c r="E80" t="s">
        <v>40</v>
      </c>
      <c r="F80" t="s">
        <v>41</v>
      </c>
      <c r="G80" t="s">
        <v>469</v>
      </c>
      <c r="H80" t="s">
        <v>380</v>
      </c>
      <c r="I80" t="s">
        <v>35</v>
      </c>
      <c r="J80" t="s">
        <v>69</v>
      </c>
      <c r="K80" t="s">
        <v>381</v>
      </c>
    </row>
    <row r="81" spans="1:11" x14ac:dyDescent="0.3">
      <c r="A81">
        <v>179</v>
      </c>
      <c r="B81" t="s">
        <v>382</v>
      </c>
      <c r="C81" t="s">
        <v>383</v>
      </c>
      <c r="D81" t="s">
        <v>516</v>
      </c>
      <c r="E81" t="s">
        <v>132</v>
      </c>
      <c r="F81" t="s">
        <v>41</v>
      </c>
      <c r="G81" t="s">
        <v>469</v>
      </c>
      <c r="H81" t="s">
        <v>384</v>
      </c>
      <c r="I81" t="s">
        <v>35</v>
      </c>
      <c r="J81" t="s">
        <v>43</v>
      </c>
      <c r="K81" t="s">
        <v>385</v>
      </c>
    </row>
    <row r="82" spans="1:11" x14ac:dyDescent="0.3">
      <c r="A82">
        <v>180</v>
      </c>
      <c r="B82" t="s">
        <v>386</v>
      </c>
      <c r="C82" t="s">
        <v>387</v>
      </c>
      <c r="D82" t="s">
        <v>388</v>
      </c>
      <c r="E82" t="s">
        <v>240</v>
      </c>
      <c r="F82" t="s">
        <v>474</v>
      </c>
      <c r="G82" t="s">
        <v>473</v>
      </c>
      <c r="H82" t="s">
        <v>389</v>
      </c>
      <c r="I82" t="s">
        <v>78</v>
      </c>
      <c r="J82" t="s">
        <v>36</v>
      </c>
      <c r="K82" t="s">
        <v>390</v>
      </c>
    </row>
    <row r="83" spans="1:11" x14ac:dyDescent="0.3">
      <c r="A83">
        <v>181</v>
      </c>
      <c r="B83" t="s">
        <v>391</v>
      </c>
      <c r="C83" t="s">
        <v>392</v>
      </c>
      <c r="D83" t="s">
        <v>393</v>
      </c>
      <c r="E83" t="s">
        <v>32</v>
      </c>
      <c r="F83" t="s">
        <v>187</v>
      </c>
      <c r="G83" t="s">
        <v>475</v>
      </c>
      <c r="H83" t="s">
        <v>394</v>
      </c>
      <c r="I83" t="s">
        <v>28</v>
      </c>
      <c r="J83" t="s">
        <v>60</v>
      </c>
      <c r="K83" t="s">
        <v>394</v>
      </c>
    </row>
    <row r="84" spans="1:11" x14ac:dyDescent="0.3">
      <c r="A84">
        <v>182</v>
      </c>
      <c r="B84" t="s">
        <v>395</v>
      </c>
      <c r="C84" t="s">
        <v>396</v>
      </c>
      <c r="D84" t="s">
        <v>517</v>
      </c>
      <c r="E84" t="s">
        <v>94</v>
      </c>
      <c r="F84" t="s">
        <v>474</v>
      </c>
      <c r="G84" t="s">
        <v>481</v>
      </c>
      <c r="H84" t="s">
        <v>397</v>
      </c>
      <c r="I84" t="s">
        <v>35</v>
      </c>
      <c r="J84" t="s">
        <v>36</v>
      </c>
      <c r="K84" t="s">
        <v>398</v>
      </c>
    </row>
    <row r="85" spans="1:11" x14ac:dyDescent="0.3">
      <c r="A85">
        <v>183</v>
      </c>
      <c r="B85" t="s">
        <v>399</v>
      </c>
      <c r="C85" t="s">
        <v>400</v>
      </c>
      <c r="D85" t="s">
        <v>518</v>
      </c>
      <c r="E85" t="s">
        <v>94</v>
      </c>
      <c r="F85" t="s">
        <v>95</v>
      </c>
      <c r="G85" t="s">
        <v>476</v>
      </c>
      <c r="H85" t="s">
        <v>474</v>
      </c>
      <c r="I85" t="s">
        <v>28</v>
      </c>
      <c r="J85" t="s">
        <v>69</v>
      </c>
      <c r="K85" t="s">
        <v>474</v>
      </c>
    </row>
    <row r="86" spans="1:11" x14ac:dyDescent="0.3">
      <c r="A86">
        <v>184</v>
      </c>
      <c r="B86" t="s">
        <v>401</v>
      </c>
      <c r="C86" t="s">
        <v>402</v>
      </c>
      <c r="D86" t="s">
        <v>403</v>
      </c>
      <c r="E86" t="s">
        <v>291</v>
      </c>
      <c r="F86" t="s">
        <v>474</v>
      </c>
      <c r="G86" t="s">
        <v>481</v>
      </c>
      <c r="H86" t="s">
        <v>404</v>
      </c>
      <c r="I86" t="s">
        <v>65</v>
      </c>
      <c r="J86" t="s">
        <v>36</v>
      </c>
      <c r="K86" t="s">
        <v>405</v>
      </c>
    </row>
    <row r="87" spans="1:11" x14ac:dyDescent="0.3">
      <c r="A87">
        <v>185</v>
      </c>
      <c r="B87" t="s">
        <v>406</v>
      </c>
      <c r="C87" t="s">
        <v>407</v>
      </c>
      <c r="D87" t="s">
        <v>408</v>
      </c>
      <c r="E87" t="s">
        <v>235</v>
      </c>
      <c r="F87" t="s">
        <v>41</v>
      </c>
      <c r="G87" t="s">
        <v>473</v>
      </c>
      <c r="H87" t="s">
        <v>409</v>
      </c>
      <c r="I87" t="s">
        <v>28</v>
      </c>
      <c r="J87" t="s">
        <v>60</v>
      </c>
      <c r="K87" t="s">
        <v>410</v>
      </c>
    </row>
    <row r="88" spans="1:11" x14ac:dyDescent="0.3">
      <c r="A88">
        <v>186</v>
      </c>
      <c r="B88" t="s">
        <v>411</v>
      </c>
      <c r="C88" t="s">
        <v>412</v>
      </c>
      <c r="D88" t="s">
        <v>488</v>
      </c>
      <c r="E88" t="s">
        <v>240</v>
      </c>
      <c r="F88" t="s">
        <v>33</v>
      </c>
      <c r="G88" t="s">
        <v>475</v>
      </c>
      <c r="H88" t="s">
        <v>413</v>
      </c>
      <c r="I88" t="s">
        <v>65</v>
      </c>
      <c r="J88" t="s">
        <v>43</v>
      </c>
      <c r="K88" t="s">
        <v>413</v>
      </c>
    </row>
    <row r="89" spans="1:11" x14ac:dyDescent="0.3">
      <c r="A89">
        <v>187</v>
      </c>
      <c r="B89" t="s">
        <v>414</v>
      </c>
      <c r="C89" t="s">
        <v>415</v>
      </c>
      <c r="D89" t="s">
        <v>416</v>
      </c>
      <c r="E89" t="s">
        <v>32</v>
      </c>
      <c r="F89" t="s">
        <v>33</v>
      </c>
      <c r="G89" t="s">
        <v>469</v>
      </c>
      <c r="H89" t="s">
        <v>417</v>
      </c>
      <c r="I89" t="s">
        <v>65</v>
      </c>
      <c r="J89" t="s">
        <v>69</v>
      </c>
      <c r="K89" t="s">
        <v>418</v>
      </c>
    </row>
    <row r="90" spans="1:11" x14ac:dyDescent="0.3">
      <c r="A90">
        <v>188</v>
      </c>
      <c r="B90" t="s">
        <v>419</v>
      </c>
      <c r="C90" t="s">
        <v>420</v>
      </c>
      <c r="D90" t="s">
        <v>416</v>
      </c>
      <c r="E90" t="s">
        <v>115</v>
      </c>
      <c r="F90" t="s">
        <v>27</v>
      </c>
      <c r="G90" t="s">
        <v>476</v>
      </c>
      <c r="H90" t="s">
        <v>421</v>
      </c>
      <c r="I90" t="s">
        <v>28</v>
      </c>
      <c r="J90" t="s">
        <v>29</v>
      </c>
      <c r="K90" t="s">
        <v>422</v>
      </c>
    </row>
    <row r="91" spans="1:11" x14ac:dyDescent="0.3">
      <c r="A91">
        <v>189</v>
      </c>
      <c r="B91" t="s">
        <v>423</v>
      </c>
      <c r="C91" t="s">
        <v>424</v>
      </c>
      <c r="D91" t="s">
        <v>408</v>
      </c>
      <c r="E91" t="s">
        <v>166</v>
      </c>
      <c r="F91" t="s">
        <v>27</v>
      </c>
      <c r="G91" t="s">
        <v>475</v>
      </c>
      <c r="H91" t="s">
        <v>425</v>
      </c>
      <c r="I91" t="s">
        <v>28</v>
      </c>
      <c r="J91" t="s">
        <v>69</v>
      </c>
      <c r="K91" t="s">
        <v>425</v>
      </c>
    </row>
    <row r="92" spans="1:11" x14ac:dyDescent="0.3">
      <c r="A92">
        <v>190</v>
      </c>
      <c r="B92" t="s">
        <v>426</v>
      </c>
      <c r="C92" t="s">
        <v>427</v>
      </c>
      <c r="D92" t="s">
        <v>258</v>
      </c>
      <c r="E92" t="s">
        <v>146</v>
      </c>
      <c r="F92" t="s">
        <v>27</v>
      </c>
      <c r="G92" t="s">
        <v>475</v>
      </c>
      <c r="H92" t="s">
        <v>428</v>
      </c>
      <c r="I92" t="s">
        <v>65</v>
      </c>
      <c r="J92" t="s">
        <v>36</v>
      </c>
      <c r="K92" t="s">
        <v>428</v>
      </c>
    </row>
    <row r="93" spans="1:11" x14ac:dyDescent="0.3">
      <c r="A93">
        <v>191</v>
      </c>
      <c r="B93" t="s">
        <v>429</v>
      </c>
      <c r="C93" t="s">
        <v>430</v>
      </c>
      <c r="D93" t="s">
        <v>431</v>
      </c>
      <c r="E93" t="s">
        <v>101</v>
      </c>
      <c r="F93" t="s">
        <v>48</v>
      </c>
      <c r="G93" t="s">
        <v>473</v>
      </c>
      <c r="H93" t="s">
        <v>432</v>
      </c>
      <c r="I93" t="s">
        <v>28</v>
      </c>
      <c r="J93" t="s">
        <v>69</v>
      </c>
      <c r="K93" t="s">
        <v>433</v>
      </c>
    </row>
    <row r="94" spans="1:11" x14ac:dyDescent="0.3">
      <c r="A94">
        <v>192</v>
      </c>
      <c r="B94" t="s">
        <v>434</v>
      </c>
      <c r="C94" t="s">
        <v>435</v>
      </c>
      <c r="D94" t="s">
        <v>436</v>
      </c>
      <c r="E94" t="s">
        <v>249</v>
      </c>
      <c r="F94" t="s">
        <v>95</v>
      </c>
      <c r="G94" t="s">
        <v>437</v>
      </c>
      <c r="H94" t="s">
        <v>438</v>
      </c>
      <c r="I94" t="s">
        <v>78</v>
      </c>
      <c r="J94" t="s">
        <v>69</v>
      </c>
      <c r="K94" t="s">
        <v>474</v>
      </c>
    </row>
    <row r="95" spans="1:11" x14ac:dyDescent="0.3">
      <c r="A95">
        <v>193</v>
      </c>
      <c r="B95" t="s">
        <v>439</v>
      </c>
      <c r="C95" t="s">
        <v>440</v>
      </c>
      <c r="D95" t="s">
        <v>519</v>
      </c>
      <c r="E95" t="s">
        <v>83</v>
      </c>
      <c r="F95" t="s">
        <v>474</v>
      </c>
      <c r="G95" t="s">
        <v>474</v>
      </c>
      <c r="H95" t="s">
        <v>441</v>
      </c>
      <c r="I95" t="s">
        <v>35</v>
      </c>
      <c r="J95" t="s">
        <v>29</v>
      </c>
      <c r="K95" t="s">
        <v>474</v>
      </c>
    </row>
    <row r="96" spans="1:11" x14ac:dyDescent="0.3">
      <c r="A96">
        <v>194</v>
      </c>
      <c r="B96" t="s">
        <v>442</v>
      </c>
      <c r="C96" t="s">
        <v>443</v>
      </c>
      <c r="D96" t="s">
        <v>520</v>
      </c>
      <c r="E96" t="s">
        <v>166</v>
      </c>
      <c r="F96" t="s">
        <v>27</v>
      </c>
      <c r="G96" t="s">
        <v>476</v>
      </c>
      <c r="H96" t="s">
        <v>444</v>
      </c>
      <c r="I96" t="s">
        <v>28</v>
      </c>
      <c r="J96" t="s">
        <v>69</v>
      </c>
      <c r="K96" t="s">
        <v>445</v>
      </c>
    </row>
    <row r="97" spans="1:11" x14ac:dyDescent="0.3">
      <c r="A97">
        <v>195</v>
      </c>
      <c r="B97" t="s">
        <v>446</v>
      </c>
      <c r="C97" t="s">
        <v>447</v>
      </c>
      <c r="D97" t="s">
        <v>448</v>
      </c>
      <c r="E97" t="s">
        <v>54</v>
      </c>
      <c r="F97" t="s">
        <v>48</v>
      </c>
      <c r="G97" t="s">
        <v>476</v>
      </c>
      <c r="H97" t="s">
        <v>449</v>
      </c>
      <c r="I97" t="s">
        <v>28</v>
      </c>
      <c r="J97" t="s">
        <v>69</v>
      </c>
      <c r="K97" t="s">
        <v>450</v>
      </c>
    </row>
    <row r="98" spans="1:11" x14ac:dyDescent="0.3">
      <c r="A98">
        <v>196</v>
      </c>
      <c r="B98" t="s">
        <v>451</v>
      </c>
      <c r="C98" t="s">
        <v>452</v>
      </c>
      <c r="D98" t="s">
        <v>39</v>
      </c>
      <c r="E98" t="s">
        <v>146</v>
      </c>
      <c r="F98" t="s">
        <v>27</v>
      </c>
      <c r="G98" t="s">
        <v>474</v>
      </c>
      <c r="H98" t="s">
        <v>34</v>
      </c>
      <c r="I98" t="s">
        <v>35</v>
      </c>
      <c r="J98" t="s">
        <v>43</v>
      </c>
      <c r="K98" t="s">
        <v>474</v>
      </c>
    </row>
    <row r="99" spans="1:11" x14ac:dyDescent="0.3">
      <c r="A99">
        <v>197</v>
      </c>
      <c r="B99" t="s">
        <v>453</v>
      </c>
      <c r="C99" t="s">
        <v>454</v>
      </c>
      <c r="D99" t="s">
        <v>455</v>
      </c>
      <c r="E99" t="s">
        <v>26</v>
      </c>
      <c r="F99" t="s">
        <v>27</v>
      </c>
      <c r="G99" t="s">
        <v>475</v>
      </c>
      <c r="H99" t="s">
        <v>456</v>
      </c>
      <c r="I99" t="s">
        <v>35</v>
      </c>
      <c r="J99" t="s">
        <v>60</v>
      </c>
      <c r="K99" t="s">
        <v>456</v>
      </c>
    </row>
    <row r="100" spans="1:11" x14ac:dyDescent="0.3">
      <c r="A100">
        <v>198</v>
      </c>
      <c r="B100" t="s">
        <v>457</v>
      </c>
      <c r="C100" t="s">
        <v>458</v>
      </c>
      <c r="D100" t="s">
        <v>459</v>
      </c>
      <c r="E100" t="s">
        <v>146</v>
      </c>
      <c r="F100" t="s">
        <v>474</v>
      </c>
      <c r="G100" t="s">
        <v>473</v>
      </c>
      <c r="H100" t="s">
        <v>460</v>
      </c>
      <c r="I100" t="s">
        <v>28</v>
      </c>
      <c r="J100" t="s">
        <v>29</v>
      </c>
      <c r="K100" t="s">
        <v>461</v>
      </c>
    </row>
    <row r="101" spans="1:11" x14ac:dyDescent="0.3">
      <c r="A101">
        <v>199</v>
      </c>
      <c r="B101" t="s">
        <v>462</v>
      </c>
      <c r="C101" t="s">
        <v>463</v>
      </c>
      <c r="D101" t="s">
        <v>464</v>
      </c>
      <c r="E101" t="s">
        <v>26</v>
      </c>
      <c r="F101" t="s">
        <v>27</v>
      </c>
      <c r="G101" t="s">
        <v>476</v>
      </c>
      <c r="H101" t="s">
        <v>465</v>
      </c>
      <c r="I101" t="s">
        <v>78</v>
      </c>
      <c r="J101" t="s">
        <v>29</v>
      </c>
      <c r="K101" t="s">
        <v>466</v>
      </c>
    </row>
    <row r="102" spans="1:11" x14ac:dyDescent="0.3">
      <c r="A102">
        <v>175</v>
      </c>
      <c r="B102" t="s">
        <v>365</v>
      </c>
      <c r="C102" t="s">
        <v>366</v>
      </c>
      <c r="D102" t="s">
        <v>367</v>
      </c>
      <c r="E102" t="s">
        <v>202</v>
      </c>
      <c r="F102" t="s">
        <v>33</v>
      </c>
      <c r="G102" t="s">
        <v>475</v>
      </c>
      <c r="H102" t="s">
        <v>368</v>
      </c>
      <c r="I102" t="s">
        <v>78</v>
      </c>
      <c r="J102" t="s">
        <v>36</v>
      </c>
      <c r="K102" t="s">
        <v>467</v>
      </c>
    </row>
    <row r="103" spans="1:11" x14ac:dyDescent="0.3">
      <c r="A103">
        <v>142</v>
      </c>
      <c r="B103" t="s">
        <v>224</v>
      </c>
      <c r="C103" t="s">
        <v>225</v>
      </c>
      <c r="D103" t="s">
        <v>114</v>
      </c>
      <c r="E103" t="s">
        <v>94</v>
      </c>
      <c r="F103" t="s">
        <v>95</v>
      </c>
      <c r="G103" t="s">
        <v>476</v>
      </c>
      <c r="H103" t="s">
        <v>226</v>
      </c>
      <c r="I103" t="s">
        <v>78</v>
      </c>
      <c r="J103" t="s">
        <v>29</v>
      </c>
      <c r="K103" t="s">
        <v>468</v>
      </c>
    </row>
    <row r="104" spans="1:11" x14ac:dyDescent="0.3">
      <c r="A104">
        <v>146</v>
      </c>
      <c r="B104" t="s">
        <v>243</v>
      </c>
      <c r="C104" t="s">
        <v>244</v>
      </c>
      <c r="D104" t="s">
        <v>503</v>
      </c>
      <c r="E104" t="s">
        <v>83</v>
      </c>
      <c r="F104" t="s">
        <v>118</v>
      </c>
      <c r="G104" t="s">
        <v>473</v>
      </c>
      <c r="H104" t="s">
        <v>245</v>
      </c>
      <c r="I104" t="s">
        <v>65</v>
      </c>
      <c r="J104" t="s">
        <v>36</v>
      </c>
      <c r="K104" t="s">
        <v>246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46D874-E6BC-452A-8FBB-80D6EB4AB483}">
  <dimension ref="A1:D18"/>
  <sheetViews>
    <sheetView workbookViewId="0">
      <selection activeCell="D18" sqref="D18"/>
    </sheetView>
  </sheetViews>
  <sheetFormatPr defaultRowHeight="14.4" x14ac:dyDescent="0.3"/>
  <cols>
    <col min="1" max="1" width="31.109375" bestFit="1" customWidth="1"/>
    <col min="2" max="2" width="23.21875" bestFit="1" customWidth="1"/>
    <col min="3" max="3" width="26.88671875" bestFit="1" customWidth="1"/>
    <col min="4" max="4" width="110.664062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6</v>
      </c>
      <c r="C2" t="s">
        <v>9</v>
      </c>
      <c r="D2" t="s">
        <v>529</v>
      </c>
    </row>
    <row r="3" spans="1:4" x14ac:dyDescent="0.3">
      <c r="A3" t="s">
        <v>531</v>
      </c>
      <c r="B3" t="s">
        <v>8</v>
      </c>
      <c r="C3" t="s">
        <v>532</v>
      </c>
      <c r="D3" t="s">
        <v>530</v>
      </c>
    </row>
    <row r="4" spans="1:4" x14ac:dyDescent="0.3">
      <c r="A4" t="s">
        <v>533</v>
      </c>
      <c r="B4" t="s">
        <v>8</v>
      </c>
      <c r="C4" t="s">
        <v>534</v>
      </c>
      <c r="D4" t="s">
        <v>535</v>
      </c>
    </row>
    <row r="5" spans="1:4" x14ac:dyDescent="0.3">
      <c r="A5" t="s">
        <v>536</v>
      </c>
      <c r="B5" t="s">
        <v>8</v>
      </c>
      <c r="C5">
        <v>2</v>
      </c>
      <c r="D5" t="s">
        <v>537</v>
      </c>
    </row>
    <row r="6" spans="1:4" x14ac:dyDescent="0.3">
      <c r="A6" t="s">
        <v>538</v>
      </c>
      <c r="B6" t="s">
        <v>539</v>
      </c>
      <c r="C6" t="s">
        <v>534</v>
      </c>
      <c r="D6" t="s">
        <v>540</v>
      </c>
    </row>
    <row r="7" spans="1:4" x14ac:dyDescent="0.3">
      <c r="A7" t="s">
        <v>7</v>
      </c>
      <c r="B7" t="s">
        <v>541</v>
      </c>
      <c r="C7">
        <v>32</v>
      </c>
      <c r="D7" s="3" t="s">
        <v>542</v>
      </c>
    </row>
    <row r="8" spans="1:4" x14ac:dyDescent="0.3">
      <c r="A8" t="s">
        <v>17</v>
      </c>
      <c r="B8" t="s">
        <v>543</v>
      </c>
      <c r="C8">
        <v>4</v>
      </c>
      <c r="D8" t="s">
        <v>544</v>
      </c>
    </row>
    <row r="9" spans="1:4" x14ac:dyDescent="0.3">
      <c r="A9" t="s">
        <v>545</v>
      </c>
      <c r="B9" t="s">
        <v>546</v>
      </c>
      <c r="C9">
        <v>1</v>
      </c>
      <c r="D9" t="s">
        <v>547</v>
      </c>
    </row>
    <row r="10" spans="1:4" x14ac:dyDescent="0.3">
      <c r="A10" t="s">
        <v>548</v>
      </c>
      <c r="B10" t="s">
        <v>549</v>
      </c>
      <c r="C10" t="s">
        <v>551</v>
      </c>
      <c r="D10" t="s">
        <v>550</v>
      </c>
    </row>
    <row r="11" spans="1:4" x14ac:dyDescent="0.3">
      <c r="A11" t="s">
        <v>552</v>
      </c>
      <c r="B11" t="s">
        <v>16</v>
      </c>
      <c r="C11">
        <v>2</v>
      </c>
      <c r="D11" t="s">
        <v>553</v>
      </c>
    </row>
    <row r="12" spans="1:4" x14ac:dyDescent="0.3">
      <c r="A12" t="s">
        <v>554</v>
      </c>
      <c r="B12" t="s">
        <v>16</v>
      </c>
      <c r="C12" t="s">
        <v>551</v>
      </c>
      <c r="D12" t="s">
        <v>555</v>
      </c>
    </row>
    <row r="13" spans="1:4" x14ac:dyDescent="0.3">
      <c r="A13" t="s">
        <v>556</v>
      </c>
      <c r="B13" t="s">
        <v>13</v>
      </c>
      <c r="C13" t="s">
        <v>557</v>
      </c>
      <c r="D13" t="s">
        <v>558</v>
      </c>
    </row>
    <row r="14" spans="1:4" x14ac:dyDescent="0.3">
      <c r="A14" t="s">
        <v>559</v>
      </c>
      <c r="B14" t="s">
        <v>560</v>
      </c>
      <c r="C14" t="s">
        <v>561</v>
      </c>
      <c r="D14" t="s">
        <v>562</v>
      </c>
    </row>
    <row r="15" spans="1:4" x14ac:dyDescent="0.3">
      <c r="A15" t="s">
        <v>563</v>
      </c>
      <c r="B15" t="s">
        <v>564</v>
      </c>
      <c r="C15">
        <v>3</v>
      </c>
      <c r="D15" t="s">
        <v>565</v>
      </c>
    </row>
    <row r="16" spans="1:4" x14ac:dyDescent="0.3">
      <c r="A16" t="s">
        <v>566</v>
      </c>
      <c r="B16" t="s">
        <v>11</v>
      </c>
      <c r="C16">
        <v>1</v>
      </c>
      <c r="D16" t="s">
        <v>567</v>
      </c>
    </row>
    <row r="17" spans="1:4" x14ac:dyDescent="0.3">
      <c r="A17" t="s">
        <v>568</v>
      </c>
      <c r="B17" t="s">
        <v>12</v>
      </c>
      <c r="C17" t="s">
        <v>569</v>
      </c>
      <c r="D17" t="s">
        <v>570</v>
      </c>
    </row>
    <row r="18" spans="1:4" x14ac:dyDescent="0.3">
      <c r="A18" t="s">
        <v>571</v>
      </c>
      <c r="B18" t="s">
        <v>12</v>
      </c>
      <c r="C18">
        <v>1</v>
      </c>
      <c r="D18" t="s">
        <v>572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87A7EE-70BB-421F-96F9-5DEBB0ADD327}">
  <dimension ref="A1:AK103"/>
  <sheetViews>
    <sheetView workbookViewId="0">
      <selection activeCell="C2" sqref="C2"/>
    </sheetView>
  </sheetViews>
  <sheetFormatPr defaultRowHeight="14.4" x14ac:dyDescent="0.3"/>
  <cols>
    <col min="1" max="1" width="10.5546875" customWidth="1"/>
    <col min="2" max="2" width="14.6640625" bestFit="1" customWidth="1"/>
    <col min="3" max="3" width="8.109375" bestFit="1" customWidth="1"/>
    <col min="4" max="4" width="10.21875" bestFit="1" customWidth="1"/>
    <col min="5" max="5" width="12.109375" customWidth="1"/>
    <col min="6" max="6" width="14.109375" customWidth="1"/>
    <col min="7" max="7" width="7.6640625" bestFit="1" customWidth="1"/>
    <col min="8" max="8" width="9.5546875" customWidth="1"/>
    <col min="9" max="9" width="14.88671875" bestFit="1" customWidth="1"/>
    <col min="10" max="10" width="13.21875" customWidth="1"/>
    <col min="11" max="11" width="11" customWidth="1"/>
    <col min="19" max="19" width="10.33203125" bestFit="1" customWidth="1"/>
    <col min="33" max="33" width="14.88671875" bestFit="1" customWidth="1"/>
  </cols>
  <sheetData>
    <row r="1" spans="1:37" x14ac:dyDescent="0.3">
      <c r="A1" t="s">
        <v>14</v>
      </c>
      <c r="B1" t="s">
        <v>5</v>
      </c>
      <c r="C1" t="s">
        <v>15</v>
      </c>
      <c r="D1" t="s">
        <v>16</v>
      </c>
      <c r="E1" t="s">
        <v>19</v>
      </c>
      <c r="F1" t="s">
        <v>8</v>
      </c>
      <c r="G1" t="s">
        <v>10</v>
      </c>
      <c r="H1" t="s">
        <v>11</v>
      </c>
      <c r="I1" t="s">
        <v>21</v>
      </c>
      <c r="J1" t="s">
        <v>22</v>
      </c>
      <c r="K1" t="s">
        <v>12</v>
      </c>
      <c r="N1" t="b">
        <f>ISNUMBER('01_Raw'!D2)</f>
        <v>0</v>
      </c>
      <c r="P1" t="str">
        <f>LEFT('01_Raw'!D2, FIND("/",'01_Raw'!D2) - 1)</f>
        <v>11</v>
      </c>
      <c r="Q1" t="str">
        <f>IFERROR(RIGHT('01_Raw'!D2,4),"Invalid")</f>
        <v>2024</v>
      </c>
      <c r="R1" t="str">
        <f>MID('01_Raw'!D2,FIND("/",'01_Raw'!D2) + 1,FIND("/",'01_Raw'!D2,FIND("/",'01_Raw'!D2)+1)-FIND("/",'01_Raw'!D2)-1)</f>
        <v>22</v>
      </c>
      <c r="S1" s="1">
        <f t="shared" ref="S1:S64" si="0">IFERROR(DATE(Q1,P1,R1),"Invalid")</f>
        <v>45618</v>
      </c>
      <c r="U1">
        <f>IFERROR(VALUE(SUBSTITUTE(SUBSTITUTE('01_Raw'!H2,"$",""), ".",",")),"Invalid")</f>
        <v>38</v>
      </c>
      <c r="V1">
        <f>IFERROR(VALUE('01_Raw'!G2), "Invalid")</f>
        <v>3</v>
      </c>
      <c r="X1">
        <f>IF(ISBLANK('01_Raw'!H2),"Missing", IFERROR(VALUE(SUBSTITUTE(SUBSTITUTE('01_Raw'!H2,"$",""), ".",",")),"Invalid"))</f>
        <v>38</v>
      </c>
      <c r="Y1">
        <f>IF(LEN(TRIM('01_Raw'!H2)) = 0, "Missing",IFERROR(VALUE(SUBSTITUTE(SUBSTITUTE('01_Raw'!H2,"$",""), ".",",")),"Invalid"))</f>
        <v>38</v>
      </c>
      <c r="AA1">
        <f>IF(LEN(TRIM('01_Raw'!G2)) = 0, "Missing",IFERROR(VALUE(SUBSTITUTE(SUBSTITUTE('01_Raw'!G2,"$",""), ".",",")),"Invalid"))</f>
        <v>3</v>
      </c>
      <c r="AC1">
        <f>COUNTIF($A$2:$A$103,A2)</f>
        <v>1</v>
      </c>
      <c r="AE1">
        <f>COUNTIF(messy_ecommerce_sales_data__2[Order_ID],'01_Raw'!C2)</f>
        <v>1</v>
      </c>
      <c r="AG1">
        <f t="shared" ref="AG1:AG65" si="1">IFERROR(AA1*Y1,"Cannot Calculate")</f>
        <v>114</v>
      </c>
      <c r="AH1" t="str">
        <f>IF(AG1='01_Raw'!K2,"OK","Mismatch")</f>
        <v>Mismatch</v>
      </c>
      <c r="AJ1">
        <f>IF(LEN(TRIM(AG1)) = 0, "Missing",IFERROR(VALUE(SUBSTITUTE(SUBSTITUTE(AG1,"$",""), ".",",")),"Invalid"))</f>
        <v>114</v>
      </c>
      <c r="AK1" t="str">
        <f>IF(AJ1=AG1,"OK","Mismatch")</f>
        <v>OK</v>
      </c>
    </row>
    <row r="2" spans="1:37" x14ac:dyDescent="0.3">
      <c r="A2">
        <f>'01_Raw'!A2</f>
        <v>100</v>
      </c>
      <c r="B2" t="str">
        <f>TRIM('01_Raw'!B2)</f>
        <v>Customer_100</v>
      </c>
      <c r="D2" s="1">
        <f>IFERROR(DATE(Q1,P1,R1),"Invalid")</f>
        <v>45618</v>
      </c>
      <c r="E2" t="str">
        <f>TRIM('01_Raw'!E2)</f>
        <v>Blender</v>
      </c>
      <c r="F2" t="str">
        <f>IF(PROPER(TRIM('01_Raw'!F2))="Electronic","Electronics",PROPER(TRIM('01_Raw'!F2)))</f>
        <v>Home</v>
      </c>
      <c r="I2" t="str">
        <f>TRIM('01_Raw'!I2)</f>
        <v>Cash on Delivery</v>
      </c>
      <c r="J2" t="str">
        <f>TRIM('01_Raw'!J2)</f>
        <v>Shipped</v>
      </c>
      <c r="N2" t="b">
        <f>ISNUMBER('01_Raw'!D3)</f>
        <v>0</v>
      </c>
      <c r="P2" t="str">
        <f>LEFT('01_Raw'!D3, FIND("/",'01_Raw'!D3) - 1)</f>
        <v>7</v>
      </c>
      <c r="Q2" t="str">
        <f>IFERROR(RIGHT('01_Raw'!D3,4),"Invalid")</f>
        <v>2025</v>
      </c>
      <c r="R2" t="str">
        <f>MID('01_Raw'!D3,FIND("/",'01_Raw'!D3) + 1,FIND("/",'01_Raw'!D3,FIND("/",'01_Raw'!D3)+1)-FIND("/",'01_Raw'!D3)-1)</f>
        <v>5</v>
      </c>
      <c r="S2" s="1">
        <f t="shared" si="0"/>
        <v>45843</v>
      </c>
      <c r="U2" t="str">
        <f>IFERROR(VALUE(SUBSTITUTE(SUBSTITUTE('01_Raw'!H3,"$",""), ".",",")),"Invalid")</f>
        <v>Invalid</v>
      </c>
      <c r="V2">
        <f>IFERROR(VALUE('01_Raw'!G3), "Invalid")</f>
        <v>2</v>
      </c>
      <c r="X2" t="str">
        <f>IF(ISBLANK('01_Raw'!H3),"Missing", IFERROR(VALUE(SUBSTITUTE(SUBSTITUTE('01_Raw'!H3,"$",""), ".",",")),"Invalid"))</f>
        <v>Invalid</v>
      </c>
      <c r="Y2" t="str">
        <f>IF(LEN(TRIM('01_Raw'!H3)) = 0, "Missing",IFERROR(VALUE(SUBSTITUTE(SUBSTITUTE('01_Raw'!H3,"$",""), ".",",")),"Invalid"))</f>
        <v>Invalid</v>
      </c>
      <c r="AA2">
        <f>IF(LEN(TRIM('01_Raw'!G3)) = 0, "Missing",IFERROR(VALUE(SUBSTITUTE(SUBSTITUTE('01_Raw'!G3,"$",""), ".",",")),"Invalid"))</f>
        <v>2</v>
      </c>
      <c r="AC2">
        <f>COUNTIF($A$2:$A$103,A3)</f>
        <v>1</v>
      </c>
      <c r="AE2">
        <f>COUNTIF(messy_ecommerce_sales_data__2[Order_ID],'01_Raw'!C3)</f>
        <v>1</v>
      </c>
      <c r="AG2" t="str">
        <f t="shared" si="1"/>
        <v>Cannot Calculate</v>
      </c>
      <c r="AH2" t="str">
        <f>IF(AG2='01_Raw'!K3,"OK","Mismatch")</f>
        <v>Mismatch</v>
      </c>
      <c r="AJ2" t="str">
        <f t="shared" ref="AJ2:AJ65" si="2">IF(LEN(TRIM(AG2)) = 0, "Missing",IFERROR(VALUE(SUBSTITUTE(SUBSTITUTE(AG2,"$",""), ".",",")),"Invalid"))</f>
        <v>Invalid</v>
      </c>
      <c r="AK2" t="str">
        <f t="shared" ref="AK2:AK65" si="3">IF(AJ2=AG2,"OK","Mismatch")</f>
        <v>Mismatch</v>
      </c>
    </row>
    <row r="3" spans="1:37" x14ac:dyDescent="0.3">
      <c r="A3">
        <f>'01_Raw'!A3</f>
        <v>101</v>
      </c>
      <c r="B3" t="str">
        <f>TRIM('01_Raw'!B3)</f>
        <v>Customer_101</v>
      </c>
      <c r="D3" s="1">
        <f t="shared" ref="D3:D66" si="4">IFERROR(DATE(Q2,P2,R2),"Invalid")</f>
        <v>45843</v>
      </c>
      <c r="E3" t="str">
        <f>TRIM('01_Raw'!E3)</f>
        <v>Smartphone</v>
      </c>
      <c r="F3" t="str">
        <f>IF(PROPER(TRIM('01_Raw'!F3))="Electronic","Electronics",PROPER(TRIM('01_Raw'!F3)))</f>
        <v>Electronics</v>
      </c>
      <c r="I3" t="str">
        <f>TRIM('01_Raw'!I3)</f>
        <v>PayPal</v>
      </c>
      <c r="J3" t="str">
        <f>TRIM('01_Raw'!J3)</f>
        <v>Processing</v>
      </c>
      <c r="N3" t="b">
        <f>ISNUMBER('01_Raw'!D4)</f>
        <v>0</v>
      </c>
      <c r="P3" t="str">
        <f>LEFT('01_Raw'!D4, FIND("/",'01_Raw'!D4) - 1)</f>
        <v>12</v>
      </c>
      <c r="Q3" t="str">
        <f>IFERROR(RIGHT('01_Raw'!D4,4),"Invalid")</f>
        <v>2024</v>
      </c>
      <c r="R3" t="str">
        <f>MID('01_Raw'!D4,FIND("/",'01_Raw'!D4) + 1,FIND("/",'01_Raw'!D4,FIND("/",'01_Raw'!D4)+1)-FIND("/",'01_Raw'!D4)-1)</f>
        <v>23</v>
      </c>
      <c r="S3" s="1">
        <f t="shared" si="0"/>
        <v>45649</v>
      </c>
      <c r="U3">
        <f>IFERROR(VALUE(SUBSTITUTE(SUBSTITUTE('01_Raw'!H4,"$",""), ".",",")),"Invalid")</f>
        <v>389.05</v>
      </c>
      <c r="V3">
        <f>IFERROR(VALUE('01_Raw'!G4), "Invalid")</f>
        <v>1</v>
      </c>
      <c r="X3">
        <f>IF(ISBLANK('01_Raw'!H4),"Missing", IFERROR(VALUE(SUBSTITUTE(SUBSTITUTE('01_Raw'!H4,"$",""), ".",",")),"Invalid"))</f>
        <v>389.05</v>
      </c>
      <c r="Y3">
        <f>IF(LEN(TRIM('01_Raw'!H4)) = 0, "Missing",IFERROR(VALUE(SUBSTITUTE(SUBSTITUTE('01_Raw'!H4,"$",""), ".",",")),"Invalid"))</f>
        <v>389.05</v>
      </c>
      <c r="AA3">
        <f>IF(LEN(TRIM('01_Raw'!G4)) = 0, "Missing",IFERROR(VALUE(SUBSTITUTE(SUBSTITUTE('01_Raw'!G4,"$",""), ".",",")),"Invalid"))</f>
        <v>1</v>
      </c>
      <c r="AC3">
        <f>COUNTIF($A$2:$A$103,A4)</f>
        <v>1</v>
      </c>
      <c r="AE3">
        <f>COUNTIF(messy_ecommerce_sales_data__2[Order_ID],'01_Raw'!C4)</f>
        <v>1</v>
      </c>
      <c r="AG3">
        <f t="shared" si="1"/>
        <v>389.05</v>
      </c>
      <c r="AH3" t="str">
        <f>IF(AG3='01_Raw'!K4,"OK","Mismatch")</f>
        <v>Mismatch</v>
      </c>
      <c r="AJ3">
        <f t="shared" si="2"/>
        <v>389.05</v>
      </c>
      <c r="AK3" t="str">
        <f t="shared" si="3"/>
        <v>OK</v>
      </c>
    </row>
    <row r="4" spans="1:37" x14ac:dyDescent="0.3">
      <c r="A4">
        <f>'01_Raw'!A4</f>
        <v>102</v>
      </c>
      <c r="B4" t="str">
        <f>TRIM('01_Raw'!B4)</f>
        <v>Customer_102</v>
      </c>
      <c r="D4" s="1">
        <f t="shared" si="4"/>
        <v>45649</v>
      </c>
      <c r="E4" t="str">
        <f>TRIM('01_Raw'!E4)</f>
        <v>Tennis Racket</v>
      </c>
      <c r="F4" t="str">
        <f>IF(PROPER(TRIM('01_Raw'!F4))="Electronic","Electronics",PROPER(TRIM('01_Raw'!F4)))</f>
        <v>Sports</v>
      </c>
      <c r="I4" t="str">
        <f>TRIM('01_Raw'!I4)</f>
        <v>PayPal</v>
      </c>
      <c r="J4" t="str">
        <f>TRIM('01_Raw'!J4)</f>
        <v>Delivered</v>
      </c>
      <c r="N4" t="b">
        <f>ISNUMBER('01_Raw'!D5)</f>
        <v>0</v>
      </c>
      <c r="P4" t="str">
        <f>LEFT('01_Raw'!D5, FIND("/",'01_Raw'!D5) - 1)</f>
        <v>3</v>
      </c>
      <c r="Q4" t="str">
        <f>IFERROR(RIGHT('01_Raw'!D5,4),"Invalid")</f>
        <v>2025</v>
      </c>
      <c r="R4" t="str">
        <f>MID('01_Raw'!D5,FIND("/",'01_Raw'!D5) + 1,FIND("/",'01_Raw'!D5,FIND("/",'01_Raw'!D5)+1)-FIND("/",'01_Raw'!D5)-1)</f>
        <v>19</v>
      </c>
      <c r="S4" s="1">
        <f t="shared" si="0"/>
        <v>45735</v>
      </c>
      <c r="U4">
        <f>IFERROR(VALUE(SUBSTITUTE(SUBSTITUTE('01_Raw'!H5,"$",""), ".",",")),"Invalid")</f>
        <v>233.92</v>
      </c>
      <c r="V4">
        <f>IFERROR(VALUE('01_Raw'!G5), "Invalid")</f>
        <v>5</v>
      </c>
      <c r="X4">
        <f>IF(ISBLANK('01_Raw'!H5),"Missing", IFERROR(VALUE(SUBSTITUTE(SUBSTITUTE('01_Raw'!H5,"$",""), ".",",")),"Invalid"))</f>
        <v>233.92</v>
      </c>
      <c r="Y4">
        <f>IF(LEN(TRIM('01_Raw'!H5)) = 0, "Missing",IFERROR(VALUE(SUBSTITUTE(SUBSTITUTE('01_Raw'!H5,"$",""), ".",",")),"Invalid"))</f>
        <v>233.92</v>
      </c>
      <c r="AA4">
        <f>IF(LEN(TRIM('01_Raw'!G5)) = 0, "Missing",IFERROR(VALUE(SUBSTITUTE(SUBSTITUTE('01_Raw'!G5,"$",""), ".",",")),"Invalid"))</f>
        <v>5</v>
      </c>
      <c r="AC4">
        <f>COUNTIF($A$2:$A$103,A5)</f>
        <v>1</v>
      </c>
      <c r="AE4">
        <f>COUNTIF(messy_ecommerce_sales_data__2[Order_ID],'01_Raw'!C5)</f>
        <v>1</v>
      </c>
      <c r="AG4">
        <f t="shared" si="1"/>
        <v>1169.5999999999999</v>
      </c>
      <c r="AH4" t="str">
        <f>IF(AG4='01_Raw'!K5,"OK","Mismatch")</f>
        <v>Mismatch</v>
      </c>
      <c r="AJ4">
        <f t="shared" si="2"/>
        <v>1169.5999999999999</v>
      </c>
      <c r="AK4" t="str">
        <f t="shared" si="3"/>
        <v>OK</v>
      </c>
    </row>
    <row r="5" spans="1:37" x14ac:dyDescent="0.3">
      <c r="A5">
        <f>'01_Raw'!A5</f>
        <v>103</v>
      </c>
      <c r="B5" t="str">
        <f>TRIM('01_Raw'!B5)</f>
        <v>Customer_103</v>
      </c>
      <c r="D5" s="1">
        <f t="shared" si="4"/>
        <v>45735</v>
      </c>
      <c r="E5" t="str">
        <f>TRIM('01_Raw'!E5)</f>
        <v>Science</v>
      </c>
      <c r="F5" t="str">
        <f>IF(PROPER(TRIM('01_Raw'!F5))="Electronic","Electronics",PROPER(TRIM('01_Raw'!F5)))</f>
        <v>Books</v>
      </c>
      <c r="I5" t="str">
        <f>TRIM('01_Raw'!I5)</f>
        <v>PayPal</v>
      </c>
      <c r="J5" t="str">
        <f>TRIM('01_Raw'!J5)</f>
        <v>Processing</v>
      </c>
      <c r="N5" t="b">
        <f>ISNUMBER('01_Raw'!D6)</f>
        <v>0</v>
      </c>
      <c r="P5" t="str">
        <f>LEFT('01_Raw'!D6, FIND("/",'01_Raw'!D6) - 1)</f>
        <v>10</v>
      </c>
      <c r="Q5" t="str">
        <f>IFERROR(RIGHT('01_Raw'!D6,4),"Invalid")</f>
        <v>2025</v>
      </c>
      <c r="R5" t="str">
        <f>MID('01_Raw'!D6,FIND("/",'01_Raw'!D6) + 1,FIND("/",'01_Raw'!D6,FIND("/",'01_Raw'!D6)+1)-FIND("/",'01_Raw'!D6)-1)</f>
        <v>20</v>
      </c>
      <c r="S5" s="1">
        <f t="shared" si="0"/>
        <v>45950</v>
      </c>
      <c r="U5">
        <f>IFERROR(VALUE(SUBSTITUTE(SUBSTITUTE('01_Raw'!H6,"$",""), ".",",")),"Invalid")</f>
        <v>552.51</v>
      </c>
      <c r="V5">
        <f>IFERROR(VALUE('01_Raw'!G6), "Invalid")</f>
        <v>1</v>
      </c>
      <c r="X5">
        <f>IF(ISBLANK('01_Raw'!H6),"Missing", IFERROR(VALUE(SUBSTITUTE(SUBSTITUTE('01_Raw'!H6,"$",""), ".",",")),"Invalid"))</f>
        <v>552.51</v>
      </c>
      <c r="Y5">
        <f>IF(LEN(TRIM('01_Raw'!H6)) = 0, "Missing",IFERROR(VALUE(SUBSTITUTE(SUBSTITUTE('01_Raw'!H6,"$",""), ".",",")),"Invalid"))</f>
        <v>552.51</v>
      </c>
      <c r="AA5">
        <f>IF(LEN(TRIM('01_Raw'!G6)) = 0, "Missing",IFERROR(VALUE(SUBSTITUTE(SUBSTITUTE('01_Raw'!G6,"$",""), ".",",")),"Invalid"))</f>
        <v>1</v>
      </c>
      <c r="AC5">
        <f>COUNTIF($A$2:$A$103,A6)</f>
        <v>1</v>
      </c>
      <c r="AE5">
        <f>COUNTIF(messy_ecommerce_sales_data__2[Order_ID],'01_Raw'!C6)</f>
        <v>1</v>
      </c>
      <c r="AG5">
        <f t="shared" si="1"/>
        <v>552.51</v>
      </c>
      <c r="AH5" t="str">
        <f>IF(AG5='01_Raw'!K6,"OK","Mismatch")</f>
        <v>Mismatch</v>
      </c>
      <c r="AJ5">
        <f t="shared" si="2"/>
        <v>552.51</v>
      </c>
      <c r="AK5" t="str">
        <f t="shared" si="3"/>
        <v>OK</v>
      </c>
    </row>
    <row r="6" spans="1:37" x14ac:dyDescent="0.3">
      <c r="A6">
        <f>'01_Raw'!A6</f>
        <v>104</v>
      </c>
      <c r="B6" t="str">
        <f>TRIM('01_Raw'!B6)</f>
        <v>Customer_104</v>
      </c>
      <c r="D6" s="1">
        <f t="shared" si="4"/>
        <v>45950</v>
      </c>
      <c r="E6" t="str">
        <f>TRIM('01_Raw'!E6)</f>
        <v>Biography</v>
      </c>
      <c r="F6" t="str">
        <f>IF(PROPER(TRIM('01_Raw'!F6))="Electronic","Electronics",PROPER(TRIM('01_Raw'!F6)))</f>
        <v>Books</v>
      </c>
      <c r="I6" t="str">
        <f>TRIM('01_Raw'!I6)</f>
        <v>Cash on Delivery</v>
      </c>
      <c r="J6" t="str">
        <f>TRIM('01_Raw'!J6)</f>
        <v>Processing</v>
      </c>
      <c r="N6" t="b">
        <f>ISNUMBER('01_Raw'!D7)</f>
        <v>0</v>
      </c>
      <c r="P6" t="str">
        <f>LEFT('01_Raw'!D7, FIND("/",'01_Raw'!D7) - 1)</f>
        <v>11</v>
      </c>
      <c r="Q6" t="str">
        <f>IFERROR(RIGHT('01_Raw'!D7,4),"Invalid")</f>
        <v>2024</v>
      </c>
      <c r="R6" t="str">
        <f>MID('01_Raw'!D7,FIND("/",'01_Raw'!D7) + 1,FIND("/",'01_Raw'!D7,FIND("/",'01_Raw'!D7)+1)-FIND("/",'01_Raw'!D7)-1)</f>
        <v>20</v>
      </c>
      <c r="S6" s="1">
        <f t="shared" si="0"/>
        <v>45616</v>
      </c>
      <c r="U6">
        <f>IFERROR(VALUE(SUBSTITUTE(SUBSTITUTE('01_Raw'!H7,"$",""), ".",",")),"Invalid")</f>
        <v>122.06</v>
      </c>
      <c r="V6">
        <f>IFERROR(VALUE('01_Raw'!G7), "Invalid")</f>
        <v>3</v>
      </c>
      <c r="X6">
        <f>IF(ISBLANK('01_Raw'!H7),"Missing", IFERROR(VALUE(SUBSTITUTE(SUBSTITUTE('01_Raw'!H7,"$",""), ".",",")),"Invalid"))</f>
        <v>122.06</v>
      </c>
      <c r="Y6">
        <f>IF(LEN(TRIM('01_Raw'!H7)) = 0, "Missing",IFERROR(VALUE(SUBSTITUTE(SUBSTITUTE('01_Raw'!H7,"$",""), ".",",")),"Invalid"))</f>
        <v>122.06</v>
      </c>
      <c r="AA6">
        <f>IF(LEN(TRIM('01_Raw'!G7)) = 0, "Missing",IFERROR(VALUE(SUBSTITUTE(SUBSTITUTE('01_Raw'!G7,"$",""), ".",",")),"Invalid"))</f>
        <v>3</v>
      </c>
      <c r="AC6">
        <f>COUNTIF($A$2:$A$103,A7)</f>
        <v>1</v>
      </c>
      <c r="AE6">
        <f>COUNTIF(messy_ecommerce_sales_data__2[Order_ID],'01_Raw'!C7)</f>
        <v>1</v>
      </c>
      <c r="AG6">
        <f t="shared" si="1"/>
        <v>366.18</v>
      </c>
      <c r="AH6" t="str">
        <f>IF(AG6='01_Raw'!K7,"OK","Mismatch")</f>
        <v>Mismatch</v>
      </c>
      <c r="AJ6">
        <f t="shared" si="2"/>
        <v>366.18</v>
      </c>
      <c r="AK6" t="str">
        <f t="shared" si="3"/>
        <v>OK</v>
      </c>
    </row>
    <row r="7" spans="1:37" x14ac:dyDescent="0.3">
      <c r="A7">
        <f>'01_Raw'!A7</f>
        <v>105</v>
      </c>
      <c r="B7" t="str">
        <f>TRIM('01_Raw'!B7)</f>
        <v>Customer_105</v>
      </c>
      <c r="D7" s="1">
        <f t="shared" si="4"/>
        <v>45616</v>
      </c>
      <c r="E7" t="str">
        <f>TRIM('01_Raw'!E7)</f>
        <v>Tennis Racket</v>
      </c>
      <c r="F7" t="str">
        <f>IF(PROPER(TRIM('01_Raw'!F7))="Electronic","Electronics",PROPER(TRIM('01_Raw'!F7)))</f>
        <v>Sports</v>
      </c>
      <c r="I7" t="str">
        <f>TRIM('01_Raw'!I7)</f>
        <v>Cash on Delivery</v>
      </c>
      <c r="J7" t="str">
        <f>TRIM('01_Raw'!J7)</f>
        <v>Cancelled</v>
      </c>
      <c r="N7" t="b">
        <f>ISNUMBER('01_Raw'!D8)</f>
        <v>0</v>
      </c>
      <c r="P7" t="str">
        <f>LEFT('01_Raw'!D8, FIND("/",'01_Raw'!D8) - 1)</f>
        <v>2</v>
      </c>
      <c r="Q7" t="str">
        <f>IFERROR(RIGHT('01_Raw'!D8,4),"Invalid")</f>
        <v>2025</v>
      </c>
      <c r="R7" t="str">
        <f>MID('01_Raw'!D8,FIND("/",'01_Raw'!D8) + 1,FIND("/",'01_Raw'!D8,FIND("/",'01_Raw'!D8)+1)-FIND("/",'01_Raw'!D8)-1)</f>
        <v>2</v>
      </c>
      <c r="S7" s="1">
        <f t="shared" si="0"/>
        <v>45690</v>
      </c>
      <c r="U7">
        <f>IFERROR(VALUE(SUBSTITUTE(SUBSTITUTE('01_Raw'!H8,"$",""), ".",",")),"Invalid")</f>
        <v>978.63</v>
      </c>
      <c r="V7" t="str">
        <f>IFERROR(VALUE('01_Raw'!G8), "Invalid")</f>
        <v>Invalid</v>
      </c>
      <c r="X7">
        <f>IF(ISBLANK('01_Raw'!H8),"Missing", IFERROR(VALUE(SUBSTITUTE(SUBSTITUTE('01_Raw'!H8,"$",""), ".",",")),"Invalid"))</f>
        <v>978.63</v>
      </c>
      <c r="Y7">
        <f>IF(LEN(TRIM('01_Raw'!H8)) = 0, "Missing",IFERROR(VALUE(SUBSTITUTE(SUBSTITUTE('01_Raw'!H8,"$",""), ".",",")),"Invalid"))</f>
        <v>978.63</v>
      </c>
      <c r="AA7" t="str">
        <f>IF(LEN(TRIM('01_Raw'!G8)) = 0, "Missing",IFERROR(VALUE(SUBSTITUTE(SUBSTITUTE('01_Raw'!G8,"$",""), ".",",")),"Invalid"))</f>
        <v>Missing</v>
      </c>
      <c r="AC7">
        <f>COUNTIF($A$2:$A$103,A8)</f>
        <v>1</v>
      </c>
      <c r="AE7">
        <f>COUNTIF(messy_ecommerce_sales_data__2[Order_ID],'01_Raw'!C8)</f>
        <v>1</v>
      </c>
      <c r="AG7" t="str">
        <f t="shared" si="1"/>
        <v>Cannot Calculate</v>
      </c>
      <c r="AH7" t="str">
        <f>IF(AG7='01_Raw'!K8,"OK","Mismatch")</f>
        <v>Mismatch</v>
      </c>
      <c r="AJ7" t="str">
        <f t="shared" si="2"/>
        <v>Invalid</v>
      </c>
      <c r="AK7" t="str">
        <f t="shared" si="3"/>
        <v>Mismatch</v>
      </c>
    </row>
    <row r="8" spans="1:37" x14ac:dyDescent="0.3">
      <c r="A8">
        <f>'01_Raw'!A8</f>
        <v>106</v>
      </c>
      <c r="B8" t="str">
        <f>TRIM('01_Raw'!B8)</f>
        <v>Customer_106</v>
      </c>
      <c r="D8" s="1">
        <f t="shared" si="4"/>
        <v>45690</v>
      </c>
      <c r="E8" t="str">
        <f>TRIM('01_Raw'!E8)</f>
        <v>Blender</v>
      </c>
      <c r="F8" t="str">
        <f>IF(PROPER(TRIM('01_Raw'!F8))="Electronic","Electronics",PROPER(TRIM('01_Raw'!F8)))</f>
        <v>Home</v>
      </c>
      <c r="I8" t="str">
        <f>TRIM('01_Raw'!I8)</f>
        <v>Bank Transfer</v>
      </c>
      <c r="J8" t="str">
        <f>TRIM('01_Raw'!J8)</f>
        <v>Processing</v>
      </c>
      <c r="N8" t="b">
        <f>ISNUMBER('01_Raw'!D9)</f>
        <v>0</v>
      </c>
      <c r="P8" t="str">
        <f>LEFT('01_Raw'!D9, FIND("/",'01_Raw'!D9) - 1)</f>
        <v>1</v>
      </c>
      <c r="Q8" t="str">
        <f>IFERROR(RIGHT('01_Raw'!D9,4),"Invalid")</f>
        <v>2025</v>
      </c>
      <c r="R8" t="str">
        <f>MID('01_Raw'!D9,FIND("/",'01_Raw'!D9) + 1,FIND("/",'01_Raw'!D9,FIND("/",'01_Raw'!D9)+1)-FIND("/",'01_Raw'!D9)-1)</f>
        <v>3</v>
      </c>
      <c r="S8" s="1">
        <f t="shared" si="0"/>
        <v>45660</v>
      </c>
      <c r="U8">
        <f>IFERROR(VALUE(SUBSTITUTE(SUBSTITUTE('01_Raw'!H9,"$",""), ".",",")),"Invalid")</f>
        <v>587.67999999999995</v>
      </c>
      <c r="V8">
        <f>IFERROR(VALUE('01_Raw'!G9), "Invalid")</f>
        <v>5</v>
      </c>
      <c r="X8">
        <f>IF(ISBLANK('01_Raw'!H9),"Missing", IFERROR(VALUE(SUBSTITUTE(SUBSTITUTE('01_Raw'!H9,"$",""), ".",",")),"Invalid"))</f>
        <v>587.67999999999995</v>
      </c>
      <c r="Y8">
        <f>IF(LEN(TRIM('01_Raw'!H9)) = 0, "Missing",IFERROR(VALUE(SUBSTITUTE(SUBSTITUTE('01_Raw'!H9,"$",""), ".",",")),"Invalid"))</f>
        <v>587.67999999999995</v>
      </c>
      <c r="AA8">
        <f>IF(LEN(TRIM('01_Raw'!G9)) = 0, "Missing",IFERROR(VALUE(SUBSTITUTE(SUBSTITUTE('01_Raw'!G9,"$",""), ".",",")),"Invalid"))</f>
        <v>5</v>
      </c>
      <c r="AC8">
        <f>COUNTIF($A$2:$A$103,A9)</f>
        <v>1</v>
      </c>
      <c r="AE8">
        <f>COUNTIF(messy_ecommerce_sales_data__2[Order_ID],'01_Raw'!C9)</f>
        <v>1</v>
      </c>
      <c r="AG8">
        <f t="shared" si="1"/>
        <v>2938.3999999999996</v>
      </c>
      <c r="AH8" t="str">
        <f>IF(AG8='01_Raw'!K9,"OK","Mismatch")</f>
        <v>Mismatch</v>
      </c>
      <c r="AJ8">
        <f t="shared" si="2"/>
        <v>2938.4</v>
      </c>
      <c r="AK8" t="str">
        <f t="shared" si="3"/>
        <v>OK</v>
      </c>
    </row>
    <row r="9" spans="1:37" x14ac:dyDescent="0.3">
      <c r="A9">
        <f>'01_Raw'!A9</f>
        <v>107</v>
      </c>
      <c r="B9" t="str">
        <f>TRIM('01_Raw'!B9)</f>
        <v>Customer_107</v>
      </c>
      <c r="D9" s="1">
        <f t="shared" si="4"/>
        <v>45660</v>
      </c>
      <c r="E9" t="str">
        <f>TRIM('01_Raw'!E9)</f>
        <v>Biography</v>
      </c>
      <c r="F9" t="str">
        <f>IF(PROPER(TRIM('01_Raw'!F9))="Electronic","Electronics",PROPER(TRIM('01_Raw'!F9)))</f>
        <v>Books</v>
      </c>
      <c r="I9" t="str">
        <f>TRIM('01_Raw'!I9)</f>
        <v>PayPal</v>
      </c>
      <c r="J9" t="str">
        <f>TRIM('01_Raw'!J9)</f>
        <v>Returned</v>
      </c>
      <c r="N9" t="b">
        <f>ISNUMBER('01_Raw'!D10)</f>
        <v>0</v>
      </c>
      <c r="P9" t="str">
        <f>LEFT('01_Raw'!D10, FIND("/",'01_Raw'!D10) - 1)</f>
        <v>10</v>
      </c>
      <c r="Q9" t="str">
        <f>IFERROR(RIGHT('01_Raw'!D10,4),"Invalid")</f>
        <v>2025</v>
      </c>
      <c r="R9" t="str">
        <f>MID('01_Raw'!D10,FIND("/",'01_Raw'!D10) + 1,FIND("/",'01_Raw'!D10,FIND("/",'01_Raw'!D10)+1)-FIND("/",'01_Raw'!D10)-1)</f>
        <v>23</v>
      </c>
      <c r="S9" s="1">
        <f t="shared" si="0"/>
        <v>45953</v>
      </c>
      <c r="U9">
        <f>IFERROR(VALUE(SUBSTITUTE(SUBSTITUTE('01_Raw'!H10,"$",""), ".",",")),"Invalid")</f>
        <v>600.29</v>
      </c>
      <c r="V9">
        <f>IFERROR(VALUE('01_Raw'!G10), "Invalid")</f>
        <v>1</v>
      </c>
      <c r="X9">
        <f>IF(ISBLANK('01_Raw'!H10),"Missing", IFERROR(VALUE(SUBSTITUTE(SUBSTITUTE('01_Raw'!H10,"$",""), ".",",")),"Invalid"))</f>
        <v>600.29</v>
      </c>
      <c r="Y9">
        <f>IF(LEN(TRIM('01_Raw'!H10)) = 0, "Missing",IFERROR(VALUE(SUBSTITUTE(SUBSTITUTE('01_Raw'!H10,"$",""), ".",",")),"Invalid"))</f>
        <v>600.29</v>
      </c>
      <c r="AA9">
        <f>IF(LEN(TRIM('01_Raw'!G10)) = 0, "Missing",IFERROR(VALUE(SUBSTITUTE(SUBSTITUTE('01_Raw'!G10,"$",""), ".",",")),"Invalid"))</f>
        <v>1</v>
      </c>
      <c r="AC9">
        <f>COUNTIF($A$2:$A$103,A10)</f>
        <v>1</v>
      </c>
      <c r="AE9">
        <f>COUNTIF(messy_ecommerce_sales_data__2[Order_ID],'01_Raw'!C10)</f>
        <v>1</v>
      </c>
      <c r="AG9">
        <f t="shared" si="1"/>
        <v>600.29</v>
      </c>
      <c r="AH9" t="str">
        <f>IF(AG9='01_Raw'!K10,"OK","Mismatch")</f>
        <v>Mismatch</v>
      </c>
      <c r="AJ9">
        <f t="shared" si="2"/>
        <v>600.29</v>
      </c>
      <c r="AK9" t="str">
        <f t="shared" si="3"/>
        <v>OK</v>
      </c>
    </row>
    <row r="10" spans="1:37" x14ac:dyDescent="0.3">
      <c r="A10">
        <f>'01_Raw'!A10</f>
        <v>108</v>
      </c>
      <c r="B10" t="str">
        <f>TRIM('01_Raw'!B10)</f>
        <v>Customer_108</v>
      </c>
      <c r="D10" s="1">
        <f t="shared" si="4"/>
        <v>45953</v>
      </c>
      <c r="E10" t="str">
        <f>TRIM('01_Raw'!E10)</f>
        <v>Science</v>
      </c>
      <c r="F10" t="str">
        <f>IF(PROPER(TRIM('01_Raw'!F10))="Electronic","Electronics",PROPER(TRIM('01_Raw'!F10)))</f>
        <v>Books</v>
      </c>
      <c r="I10" t="str">
        <f>TRIM('01_Raw'!I10)</f>
        <v>Cash on Delivery</v>
      </c>
      <c r="J10" t="str">
        <f>TRIM('01_Raw'!J10)</f>
        <v>Processing</v>
      </c>
      <c r="N10" t="b">
        <f>ISNUMBER('01_Raw'!D11)</f>
        <v>0</v>
      </c>
      <c r="P10" t="str">
        <f>LEFT('01_Raw'!D11, FIND("/",'01_Raw'!D11) - 1)</f>
        <v>5</v>
      </c>
      <c r="Q10" t="str">
        <f>IFERROR(RIGHT('01_Raw'!D11,4),"Invalid")</f>
        <v>2025</v>
      </c>
      <c r="R10" t="str">
        <f>MID('01_Raw'!D11,FIND("/",'01_Raw'!D11) + 1,FIND("/",'01_Raw'!D11,FIND("/",'01_Raw'!D11)+1)-FIND("/",'01_Raw'!D11)-1)</f>
        <v>3</v>
      </c>
      <c r="S10" s="1">
        <f t="shared" si="0"/>
        <v>45780</v>
      </c>
      <c r="U10">
        <f>IFERROR(VALUE(SUBSTITUTE(SUBSTITUTE('01_Raw'!H11,"$",""), ".",",")),"Invalid")</f>
        <v>168.34</v>
      </c>
      <c r="V10">
        <f>IFERROR(VALUE('01_Raw'!G11), "Invalid")</f>
        <v>5</v>
      </c>
      <c r="X10">
        <f>IF(ISBLANK('01_Raw'!H11),"Missing", IFERROR(VALUE(SUBSTITUTE(SUBSTITUTE('01_Raw'!H11,"$",""), ".",",")),"Invalid"))</f>
        <v>168.34</v>
      </c>
      <c r="Y10">
        <f>IF(LEN(TRIM('01_Raw'!H11)) = 0, "Missing",IFERROR(VALUE(SUBSTITUTE(SUBSTITUTE('01_Raw'!H11,"$",""), ".",",")),"Invalid"))</f>
        <v>168.34</v>
      </c>
      <c r="AA10">
        <f>IF(LEN(TRIM('01_Raw'!G11)) = 0, "Missing",IFERROR(VALUE(SUBSTITUTE(SUBSTITUTE('01_Raw'!G11,"$",""), ".",",")),"Invalid"))</f>
        <v>5</v>
      </c>
      <c r="AC10">
        <f>COUNTIF($A$2:$A$103,A11)</f>
        <v>1</v>
      </c>
      <c r="AE10">
        <f>COUNTIF(messy_ecommerce_sales_data__2[Order_ID],'01_Raw'!C11)</f>
        <v>1</v>
      </c>
      <c r="AG10">
        <f t="shared" si="1"/>
        <v>841.7</v>
      </c>
      <c r="AH10" t="str">
        <f>IF(AG10='01_Raw'!K11,"OK","Mismatch")</f>
        <v>Mismatch</v>
      </c>
      <c r="AJ10">
        <f t="shared" si="2"/>
        <v>841.7</v>
      </c>
      <c r="AK10" t="str">
        <f t="shared" si="3"/>
        <v>OK</v>
      </c>
    </row>
    <row r="11" spans="1:37" x14ac:dyDescent="0.3">
      <c r="A11">
        <f>'01_Raw'!A11</f>
        <v>109</v>
      </c>
      <c r="B11" t="str">
        <f>TRIM('01_Raw'!B11)</f>
        <v>Customer_109</v>
      </c>
      <c r="D11" s="1">
        <f t="shared" si="4"/>
        <v>45780</v>
      </c>
      <c r="E11" t="str">
        <f>TRIM('01_Raw'!E11)</f>
        <v>Tennis Racket</v>
      </c>
      <c r="F11" t="str">
        <f>IF(PROPER(TRIM('01_Raw'!F11))="Electronic","Electronics",PROPER(TRIM('01_Raw'!F11)))</f>
        <v>Sports</v>
      </c>
      <c r="I11" t="str">
        <f>TRIM('01_Raw'!I11)</f>
        <v>Credit Card</v>
      </c>
      <c r="J11" t="str">
        <f>TRIM('01_Raw'!J11)</f>
        <v>Shipped</v>
      </c>
      <c r="N11" t="b">
        <f>ISNUMBER('01_Raw'!D12)</f>
        <v>0</v>
      </c>
      <c r="P11" t="str">
        <f>LEFT('01_Raw'!D12, FIND("/",'01_Raw'!D12) - 1)</f>
        <v>9</v>
      </c>
      <c r="Q11" t="str">
        <f>IFERROR(RIGHT('01_Raw'!D12,4),"Invalid")</f>
        <v>2025</v>
      </c>
      <c r="R11" t="str">
        <f>MID('01_Raw'!D12,FIND("/",'01_Raw'!D12) + 1,FIND("/",'01_Raw'!D12,FIND("/",'01_Raw'!D12)+1)-FIND("/",'01_Raw'!D12)-1)</f>
        <v>26</v>
      </c>
      <c r="S11" s="1">
        <f t="shared" si="0"/>
        <v>45926</v>
      </c>
      <c r="U11" t="str">
        <f>IFERROR(VALUE(SUBSTITUTE(SUBSTITUTE('01_Raw'!H12,"$",""), ".",",")),"Invalid")</f>
        <v>Invalid</v>
      </c>
      <c r="V11">
        <f>IFERROR(VALUE('01_Raw'!G12), "Invalid")</f>
        <v>5</v>
      </c>
      <c r="X11" t="str">
        <f>IF(ISBLANK('01_Raw'!H12),"Missing", IFERROR(VALUE(SUBSTITUTE(SUBSTITUTE('01_Raw'!H12,"$",""), ".",",")),"Invalid"))</f>
        <v>Invalid</v>
      </c>
      <c r="Y11" t="str">
        <f>IF(LEN(TRIM('01_Raw'!H12)) = 0, "Missing",IFERROR(VALUE(SUBSTITUTE(SUBSTITUTE('01_Raw'!H12,"$",""), ".",",")),"Invalid"))</f>
        <v>Invalid</v>
      </c>
      <c r="AA11">
        <f>IF(LEN(TRIM('01_Raw'!G12)) = 0, "Missing",IFERROR(VALUE(SUBSTITUTE(SUBSTITUTE('01_Raw'!G12,"$",""), ".",",")),"Invalid"))</f>
        <v>5</v>
      </c>
      <c r="AC11">
        <f>COUNTIF($A$2:$A$103,A12)</f>
        <v>1</v>
      </c>
      <c r="AE11">
        <f>COUNTIF(messy_ecommerce_sales_data__2[Order_ID],'01_Raw'!C12)</f>
        <v>1</v>
      </c>
      <c r="AG11" t="str">
        <f t="shared" si="1"/>
        <v>Cannot Calculate</v>
      </c>
      <c r="AH11" t="str">
        <f>IF(AG11='01_Raw'!K12,"OK","Mismatch")</f>
        <v>Mismatch</v>
      </c>
      <c r="AJ11" t="str">
        <f t="shared" si="2"/>
        <v>Invalid</v>
      </c>
      <c r="AK11" t="str">
        <f t="shared" si="3"/>
        <v>Mismatch</v>
      </c>
    </row>
    <row r="12" spans="1:37" x14ac:dyDescent="0.3">
      <c r="A12">
        <f>'01_Raw'!A12</f>
        <v>110</v>
      </c>
      <c r="B12" t="str">
        <f>TRIM('01_Raw'!B12)</f>
        <v>Customer_110</v>
      </c>
      <c r="D12" s="1">
        <f t="shared" si="4"/>
        <v>45926</v>
      </c>
      <c r="E12" t="str">
        <f>TRIM('01_Raw'!E12)</f>
        <v>Basketball</v>
      </c>
      <c r="F12" t="str">
        <f>IF(PROPER(TRIM('01_Raw'!F12))="Electronic","Electronics",PROPER(TRIM('01_Raw'!F12)))</f>
        <v>Sports</v>
      </c>
      <c r="I12" t="str">
        <f>TRIM('01_Raw'!I12)</f>
        <v>Cash on Delivery</v>
      </c>
      <c r="J12" t="str">
        <f>TRIM('01_Raw'!J12)</f>
        <v>Cancelled</v>
      </c>
      <c r="N12" t="b">
        <f>ISNUMBER('01_Raw'!D13)</f>
        <v>0</v>
      </c>
      <c r="P12" t="str">
        <f>LEFT('01_Raw'!D13, FIND("/",'01_Raw'!D13) - 1)</f>
        <v>10</v>
      </c>
      <c r="Q12" t="str">
        <f>IFERROR(RIGHT('01_Raw'!D13,4),"Invalid")</f>
        <v>2025</v>
      </c>
      <c r="R12" t="str">
        <f>MID('01_Raw'!D13,FIND("/",'01_Raw'!D13) + 1,FIND("/",'01_Raw'!D13,FIND("/",'01_Raw'!D13)+1)-FIND("/",'01_Raw'!D13)-1)</f>
        <v>22</v>
      </c>
      <c r="S12" s="1">
        <f t="shared" si="0"/>
        <v>45952</v>
      </c>
      <c r="U12">
        <f>IFERROR(VALUE(SUBSTITUTE(SUBSTITUTE('01_Raw'!H13,"$",""), ".",",")),"Invalid")</f>
        <v>865.77</v>
      </c>
      <c r="V12">
        <f>IFERROR(VALUE('01_Raw'!G13), "Invalid")</f>
        <v>2</v>
      </c>
      <c r="X12">
        <f>IF(ISBLANK('01_Raw'!H13),"Missing", IFERROR(VALUE(SUBSTITUTE(SUBSTITUTE('01_Raw'!H13,"$",""), ".",",")),"Invalid"))</f>
        <v>865.77</v>
      </c>
      <c r="Y12">
        <f>IF(LEN(TRIM('01_Raw'!H13)) = 0, "Missing",IFERROR(VALUE(SUBSTITUTE(SUBSTITUTE('01_Raw'!H13,"$",""), ".",",")),"Invalid"))</f>
        <v>865.77</v>
      </c>
      <c r="AA12">
        <f>IF(LEN(TRIM('01_Raw'!G13)) = 0, "Missing",IFERROR(VALUE(SUBSTITUTE(SUBSTITUTE('01_Raw'!G13,"$",""), ".",",")),"Invalid"))</f>
        <v>2</v>
      </c>
      <c r="AC12">
        <f>COUNTIF($A$2:$A$103,A13)</f>
        <v>1</v>
      </c>
      <c r="AE12">
        <f>COUNTIF(messy_ecommerce_sales_data__2[Order_ID],'01_Raw'!C13)</f>
        <v>1</v>
      </c>
      <c r="AG12">
        <f t="shared" si="1"/>
        <v>1731.54</v>
      </c>
      <c r="AH12" t="str">
        <f>IF(AG12='01_Raw'!K13,"OK","Mismatch")</f>
        <v>Mismatch</v>
      </c>
      <c r="AJ12">
        <f t="shared" si="2"/>
        <v>1731.54</v>
      </c>
      <c r="AK12" t="str">
        <f t="shared" si="3"/>
        <v>OK</v>
      </c>
    </row>
    <row r="13" spans="1:37" x14ac:dyDescent="0.3">
      <c r="A13">
        <f>'01_Raw'!A13</f>
        <v>111</v>
      </c>
      <c r="B13" t="str">
        <f>TRIM('01_Raw'!B13)</f>
        <v>Customer_111</v>
      </c>
      <c r="D13" s="1">
        <f t="shared" si="4"/>
        <v>45952</v>
      </c>
      <c r="E13" t="str">
        <f>TRIM('01_Raw'!E13)</f>
        <v>Comics</v>
      </c>
      <c r="F13" t="str">
        <f>IF(PROPER(TRIM('01_Raw'!F13))="Electronic","Electronics",PROPER(TRIM('01_Raw'!F13)))</f>
        <v>Books</v>
      </c>
      <c r="I13" t="str">
        <f>TRIM('01_Raw'!I13)</f>
        <v>Credit Card</v>
      </c>
      <c r="J13" t="str">
        <f>TRIM('01_Raw'!J13)</f>
        <v>Returned</v>
      </c>
      <c r="N13" t="b">
        <f>ISNUMBER('01_Raw'!D14)</f>
        <v>0</v>
      </c>
      <c r="P13" t="str">
        <f>LEFT('01_Raw'!D14, FIND("/",'01_Raw'!D14) - 1)</f>
        <v>3</v>
      </c>
      <c r="Q13" t="str">
        <f>IFERROR(RIGHT('01_Raw'!D14,4),"Invalid")</f>
        <v>2025</v>
      </c>
      <c r="R13" t="str">
        <f>MID('01_Raw'!D14,FIND("/",'01_Raw'!D14) + 1,FIND("/",'01_Raw'!D14,FIND("/",'01_Raw'!D14)+1)-FIND("/",'01_Raw'!D14)-1)</f>
        <v>2</v>
      </c>
      <c r="S13" s="1">
        <f t="shared" si="0"/>
        <v>45718</v>
      </c>
      <c r="U13">
        <f>IFERROR(VALUE(SUBSTITUTE(SUBSTITUTE('01_Raw'!H14,"$",""), ".",",")),"Invalid")</f>
        <v>752.13</v>
      </c>
      <c r="V13">
        <f>IFERROR(VALUE('01_Raw'!G14), "Invalid")</f>
        <v>4</v>
      </c>
      <c r="X13">
        <f>IF(ISBLANK('01_Raw'!H14),"Missing", IFERROR(VALUE(SUBSTITUTE(SUBSTITUTE('01_Raw'!H14,"$",""), ".",",")),"Invalid"))</f>
        <v>752.13</v>
      </c>
      <c r="Y13">
        <f>IF(LEN(TRIM('01_Raw'!H14)) = 0, "Missing",IFERROR(VALUE(SUBSTITUTE(SUBSTITUTE('01_Raw'!H14,"$",""), ".",",")),"Invalid"))</f>
        <v>752.13</v>
      </c>
      <c r="AA13">
        <f>IF(LEN(TRIM('01_Raw'!G14)) = 0, "Missing",IFERROR(VALUE(SUBSTITUTE(SUBSTITUTE('01_Raw'!G14,"$",""), ".",",")),"Invalid"))</f>
        <v>4</v>
      </c>
      <c r="AC13">
        <f>COUNTIF($A$2:$A$103,A14)</f>
        <v>1</v>
      </c>
      <c r="AE13">
        <f>COUNTIF(messy_ecommerce_sales_data__2[Order_ID],'01_Raw'!C14)</f>
        <v>1</v>
      </c>
      <c r="AG13">
        <f t="shared" si="1"/>
        <v>3008.52</v>
      </c>
      <c r="AH13" t="str">
        <f>IF(AG13='01_Raw'!K14,"OK","Mismatch")</f>
        <v>Mismatch</v>
      </c>
      <c r="AJ13">
        <f t="shared" si="2"/>
        <v>3008.52</v>
      </c>
      <c r="AK13" t="str">
        <f t="shared" si="3"/>
        <v>OK</v>
      </c>
    </row>
    <row r="14" spans="1:37" x14ac:dyDescent="0.3">
      <c r="A14">
        <f>'01_Raw'!A14</f>
        <v>112</v>
      </c>
      <c r="B14" t="str">
        <f>TRIM('01_Raw'!B14)</f>
        <v>Customer_112</v>
      </c>
      <c r="D14" s="1">
        <f t="shared" si="4"/>
        <v>45718</v>
      </c>
      <c r="E14" t="str">
        <f>TRIM('01_Raw'!E14)</f>
        <v>Shoes</v>
      </c>
      <c r="F14" t="str">
        <f>IF(PROPER(TRIM('01_Raw'!F14))="Electronic","Electronics",PROPER(TRIM('01_Raw'!F14)))</f>
        <v>Clothing</v>
      </c>
      <c r="I14" t="str">
        <f>TRIM('01_Raw'!I14)</f>
        <v>Bank Transfer</v>
      </c>
      <c r="J14" t="str">
        <f>TRIM('01_Raw'!J14)</f>
        <v>Delivered</v>
      </c>
      <c r="N14" t="b">
        <f>ISNUMBER('01_Raw'!D15)</f>
        <v>0</v>
      </c>
      <c r="P14" t="str">
        <f>LEFT('01_Raw'!D15, FIND("/",'01_Raw'!D15) - 1)</f>
        <v>7</v>
      </c>
      <c r="Q14" t="str">
        <f>IFERROR(RIGHT('01_Raw'!D15,4),"Invalid")</f>
        <v>2025</v>
      </c>
      <c r="R14" t="str">
        <f>MID('01_Raw'!D15,FIND("/",'01_Raw'!D15) + 1,FIND("/",'01_Raw'!D15,FIND("/",'01_Raw'!D15)+1)-FIND("/",'01_Raw'!D15)-1)</f>
        <v>24</v>
      </c>
      <c r="S14" s="1">
        <f t="shared" si="0"/>
        <v>45862</v>
      </c>
      <c r="U14">
        <f>IFERROR(VALUE(SUBSTITUTE(SUBSTITUTE('01_Raw'!H15,"$",""), ".",",")),"Invalid")</f>
        <v>411.81</v>
      </c>
      <c r="V14">
        <f>IFERROR(VALUE('01_Raw'!G15), "Invalid")</f>
        <v>1</v>
      </c>
      <c r="X14">
        <f>IF(ISBLANK('01_Raw'!H15),"Missing", IFERROR(VALUE(SUBSTITUTE(SUBSTITUTE('01_Raw'!H15,"$",""), ".",",")),"Invalid"))</f>
        <v>411.81</v>
      </c>
      <c r="Y14">
        <f>IF(LEN(TRIM('01_Raw'!H15)) = 0, "Missing",IFERROR(VALUE(SUBSTITUTE(SUBSTITUTE('01_Raw'!H15,"$",""), ".",",")),"Invalid"))</f>
        <v>411.81</v>
      </c>
      <c r="AA14">
        <f>IF(LEN(TRIM('01_Raw'!G15)) = 0, "Missing",IFERROR(VALUE(SUBSTITUTE(SUBSTITUTE('01_Raw'!G15,"$",""), ".",",")),"Invalid"))</f>
        <v>1</v>
      </c>
      <c r="AC14">
        <f>COUNTIF($A$2:$A$103,A15)</f>
        <v>1</v>
      </c>
      <c r="AE14">
        <f>COUNTIF(messy_ecommerce_sales_data__2[Order_ID],'01_Raw'!C15)</f>
        <v>1</v>
      </c>
      <c r="AG14">
        <f t="shared" si="1"/>
        <v>411.81</v>
      </c>
      <c r="AH14" t="str">
        <f>IF(AG14='01_Raw'!K15,"OK","Mismatch")</f>
        <v>Mismatch</v>
      </c>
      <c r="AJ14">
        <f t="shared" si="2"/>
        <v>411.81</v>
      </c>
      <c r="AK14" t="str">
        <f t="shared" si="3"/>
        <v>OK</v>
      </c>
    </row>
    <row r="15" spans="1:37" x14ac:dyDescent="0.3">
      <c r="A15">
        <f>'01_Raw'!A15</f>
        <v>113</v>
      </c>
      <c r="B15" t="str">
        <f>TRIM('01_Raw'!B15)</f>
        <v>Customer_113</v>
      </c>
      <c r="D15" s="1">
        <f t="shared" si="4"/>
        <v>45862</v>
      </c>
      <c r="E15" t="str">
        <f>TRIM('01_Raw'!E15)</f>
        <v>Fiction</v>
      </c>
      <c r="F15" t="str">
        <f>IF(PROPER(TRIM('01_Raw'!F15))="Electronic","Electronics",PROPER(TRIM('01_Raw'!F15)))</f>
        <v>Books</v>
      </c>
      <c r="I15" t="str">
        <f>TRIM('01_Raw'!I15)</f>
        <v>Credit Card</v>
      </c>
      <c r="J15" t="str">
        <f>TRIM('01_Raw'!J15)</f>
        <v>Processing</v>
      </c>
      <c r="N15" t="b">
        <f>ISNUMBER('01_Raw'!D16)</f>
        <v>0</v>
      </c>
      <c r="P15" t="e">
        <f>LEFT('01_Raw'!D16, FIND("/",'01_Raw'!D16) - 1)</f>
        <v>#VALUE!</v>
      </c>
      <c r="Q15" t="str">
        <f>IFERROR(RIGHT('01_Raw'!D16,4),"Invalid")</f>
        <v>2023</v>
      </c>
      <c r="R15" t="e">
        <f>MID('01_Raw'!D16,FIND("/",'01_Raw'!D16) + 1,FIND("/",'01_Raw'!D16,FIND("/",'01_Raw'!D16)+1)-FIND("/",'01_Raw'!D16)-1)</f>
        <v>#VALUE!</v>
      </c>
      <c r="S15" s="1" t="str">
        <f t="shared" si="0"/>
        <v>Invalid</v>
      </c>
      <c r="U15">
        <f>IFERROR(VALUE(SUBSTITUTE(SUBSTITUTE('01_Raw'!H16,"$",""), ".",",")),"Invalid")</f>
        <v>413.13</v>
      </c>
      <c r="V15">
        <f>IFERROR(VALUE('01_Raw'!G16), "Invalid")</f>
        <v>2</v>
      </c>
      <c r="X15">
        <f>IF(ISBLANK('01_Raw'!H16),"Missing", IFERROR(VALUE(SUBSTITUTE(SUBSTITUTE('01_Raw'!H16,"$",""), ".",",")),"Invalid"))</f>
        <v>413.13</v>
      </c>
      <c r="Y15">
        <f>IF(LEN(TRIM('01_Raw'!H16)) = 0, "Missing",IFERROR(VALUE(SUBSTITUTE(SUBSTITUTE('01_Raw'!H16,"$",""), ".",",")),"Invalid"))</f>
        <v>413.13</v>
      </c>
      <c r="AA15">
        <f>IF(LEN(TRIM('01_Raw'!G16)) = 0, "Missing",IFERROR(VALUE(SUBSTITUTE(SUBSTITUTE('01_Raw'!G16,"$",""), ".",",")),"Invalid"))</f>
        <v>2</v>
      </c>
      <c r="AC15">
        <f>COUNTIF($A$2:$A$103,A16)</f>
        <v>1</v>
      </c>
      <c r="AE15">
        <f>COUNTIF(messy_ecommerce_sales_data__2[Order_ID],'01_Raw'!C16)</f>
        <v>1</v>
      </c>
      <c r="AG15">
        <f t="shared" si="1"/>
        <v>826.26</v>
      </c>
      <c r="AH15" t="str">
        <f>IF(AG15='01_Raw'!K16,"OK","Mismatch")</f>
        <v>Mismatch</v>
      </c>
      <c r="AJ15">
        <f t="shared" si="2"/>
        <v>826.26</v>
      </c>
      <c r="AK15" t="str">
        <f t="shared" si="3"/>
        <v>OK</v>
      </c>
    </row>
    <row r="16" spans="1:37" x14ac:dyDescent="0.3">
      <c r="A16">
        <f>'01_Raw'!A16</f>
        <v>114</v>
      </c>
      <c r="B16" t="str">
        <f>TRIM('01_Raw'!B16)</f>
        <v>Customer_114</v>
      </c>
      <c r="D16" s="1" t="str">
        <f t="shared" si="4"/>
        <v>Invalid</v>
      </c>
      <c r="E16" t="str">
        <f>TRIM('01_Raw'!E16)</f>
        <v>Smartphone</v>
      </c>
      <c r="F16" t="str">
        <f>IF(PROPER(TRIM('01_Raw'!F16))="Electronic","Electronics",PROPER(TRIM('01_Raw'!F16)))</f>
        <v>Electronics</v>
      </c>
      <c r="I16" t="str">
        <f>TRIM('01_Raw'!I16)</f>
        <v>Cash on Delivery</v>
      </c>
      <c r="J16" t="str">
        <f>TRIM('01_Raw'!J16)</f>
        <v>Shipped</v>
      </c>
      <c r="N16" t="b">
        <f>ISNUMBER('01_Raw'!D17)</f>
        <v>0</v>
      </c>
      <c r="P16" t="str">
        <f>LEFT('01_Raw'!D17, FIND("/",'01_Raw'!D17) - 1)</f>
        <v>1</v>
      </c>
      <c r="Q16" t="str">
        <f>IFERROR(RIGHT('01_Raw'!D17,4),"Invalid")</f>
        <v>2025</v>
      </c>
      <c r="R16" t="str">
        <f>MID('01_Raw'!D17,FIND("/",'01_Raw'!D17) + 1,FIND("/",'01_Raw'!D17,FIND("/",'01_Raw'!D17)+1)-FIND("/",'01_Raw'!D17)-1)</f>
        <v>10</v>
      </c>
      <c r="S16" s="1">
        <f t="shared" si="0"/>
        <v>45667</v>
      </c>
      <c r="U16">
        <f>IFERROR(VALUE(SUBSTITUTE(SUBSTITUTE('01_Raw'!H17,"$",""), ".",",")),"Invalid")</f>
        <v>796.84</v>
      </c>
      <c r="V16">
        <f>IFERROR(VALUE('01_Raw'!G17), "Invalid")</f>
        <v>2</v>
      </c>
      <c r="X16">
        <f>IF(ISBLANK('01_Raw'!H17),"Missing", IFERROR(VALUE(SUBSTITUTE(SUBSTITUTE('01_Raw'!H17,"$",""), ".",",")),"Invalid"))</f>
        <v>796.84</v>
      </c>
      <c r="Y16">
        <f>IF(LEN(TRIM('01_Raw'!H17)) = 0, "Missing",IFERROR(VALUE(SUBSTITUTE(SUBSTITUTE('01_Raw'!H17,"$",""), ".",",")),"Invalid"))</f>
        <v>796.84</v>
      </c>
      <c r="AA16">
        <f>IF(LEN(TRIM('01_Raw'!G17)) = 0, "Missing",IFERROR(VALUE(SUBSTITUTE(SUBSTITUTE('01_Raw'!G17,"$",""), ".",",")),"Invalid"))</f>
        <v>2</v>
      </c>
      <c r="AC16">
        <f>COUNTIF($A$2:$A$103,A17)</f>
        <v>1</v>
      </c>
      <c r="AE16">
        <f>COUNTIF(messy_ecommerce_sales_data__2[Order_ID],'01_Raw'!C17)</f>
        <v>1</v>
      </c>
      <c r="AG16">
        <f t="shared" si="1"/>
        <v>1593.68</v>
      </c>
      <c r="AH16" t="str">
        <f>IF(AG16='01_Raw'!K17,"OK","Mismatch")</f>
        <v>Mismatch</v>
      </c>
      <c r="AJ16">
        <f t="shared" si="2"/>
        <v>1593.68</v>
      </c>
      <c r="AK16" t="str">
        <f t="shared" si="3"/>
        <v>OK</v>
      </c>
    </row>
    <row r="17" spans="1:37" x14ac:dyDescent="0.3">
      <c r="A17">
        <f>'01_Raw'!A17</f>
        <v>115</v>
      </c>
      <c r="B17" t="str">
        <f>TRIM('01_Raw'!B17)</f>
        <v>Customer_115</v>
      </c>
      <c r="D17" s="1">
        <f t="shared" si="4"/>
        <v>45667</v>
      </c>
      <c r="E17" t="str">
        <f>TRIM('01_Raw'!E17)</f>
        <v>Fiction</v>
      </c>
      <c r="F17" t="str">
        <f>IF(PROPER(TRIM('01_Raw'!F17))="Electronic","Electronics",PROPER(TRIM('01_Raw'!F17)))</f>
        <v>Books</v>
      </c>
      <c r="I17" t="str">
        <f>TRIM('01_Raw'!I17)</f>
        <v>Cash on Delivery</v>
      </c>
      <c r="J17" t="str">
        <f>TRIM('01_Raw'!J17)</f>
        <v>Returned</v>
      </c>
      <c r="N17" t="b">
        <f>ISNUMBER('01_Raw'!D18)</f>
        <v>0</v>
      </c>
      <c r="P17" t="str">
        <f>LEFT('01_Raw'!D18, FIND("/",'01_Raw'!D18) - 1)</f>
        <v>10</v>
      </c>
      <c r="Q17" t="str">
        <f>IFERROR(RIGHT('01_Raw'!D18,4),"Invalid")</f>
        <v>2025</v>
      </c>
      <c r="R17" t="str">
        <f>MID('01_Raw'!D18,FIND("/",'01_Raw'!D18) + 1,FIND("/",'01_Raw'!D18,FIND("/",'01_Raw'!D18)+1)-FIND("/",'01_Raw'!D18)-1)</f>
        <v>30</v>
      </c>
      <c r="S17" s="1">
        <f t="shared" si="0"/>
        <v>45960</v>
      </c>
      <c r="U17" t="str">
        <f>IFERROR(VALUE(SUBSTITUTE(SUBSTITUTE('01_Raw'!H18,"$",""), ".",",")),"Invalid")</f>
        <v>Invalid</v>
      </c>
      <c r="V17">
        <f>IFERROR(VALUE('01_Raw'!G18), "Invalid")</f>
        <v>4</v>
      </c>
      <c r="X17" t="str">
        <f>IF(ISBLANK('01_Raw'!H18),"Missing", IFERROR(VALUE(SUBSTITUTE(SUBSTITUTE('01_Raw'!H18,"$",""), ".",",")),"Invalid"))</f>
        <v>Invalid</v>
      </c>
      <c r="Y17" t="str">
        <f>IF(LEN(TRIM('01_Raw'!H18)) = 0, "Missing",IFERROR(VALUE(SUBSTITUTE(SUBSTITUTE('01_Raw'!H18,"$",""), ".",",")),"Invalid"))</f>
        <v>Missing</v>
      </c>
      <c r="AA17">
        <f>IF(LEN(TRIM('01_Raw'!G18)) = 0, "Missing",IFERROR(VALUE(SUBSTITUTE(SUBSTITUTE('01_Raw'!G18,"$",""), ".",",")),"Invalid"))</f>
        <v>4</v>
      </c>
      <c r="AC17">
        <f>COUNTIF($A$2:$A$103,A18)</f>
        <v>1</v>
      </c>
      <c r="AE17">
        <f>COUNTIF(messy_ecommerce_sales_data__2[Order_ID],'01_Raw'!C18)</f>
        <v>1</v>
      </c>
      <c r="AG17" t="str">
        <f t="shared" si="1"/>
        <v>Cannot Calculate</v>
      </c>
      <c r="AH17" t="str">
        <f>IF(AG17='01_Raw'!K18,"OK","Mismatch")</f>
        <v>Mismatch</v>
      </c>
      <c r="AJ17" t="str">
        <f t="shared" si="2"/>
        <v>Invalid</v>
      </c>
      <c r="AK17" t="str">
        <f t="shared" si="3"/>
        <v>Mismatch</v>
      </c>
    </row>
    <row r="18" spans="1:37" x14ac:dyDescent="0.3">
      <c r="A18">
        <f>'01_Raw'!A18</f>
        <v>116</v>
      </c>
      <c r="B18" t="str">
        <f>TRIM('01_Raw'!B18)</f>
        <v>Customer_116</v>
      </c>
      <c r="D18" s="1">
        <f t="shared" si="4"/>
        <v>45960</v>
      </c>
      <c r="E18" t="str">
        <f>TRIM('01_Raw'!E18)</f>
        <v>Microwave</v>
      </c>
      <c r="F18" t="str">
        <f>IF(PROPER(TRIM('01_Raw'!F18))="Electronic","Electronics",PROPER(TRIM('01_Raw'!F18)))</f>
        <v>Home</v>
      </c>
      <c r="I18" t="str">
        <f>TRIM('01_Raw'!I18)</f>
        <v>Cash on Delivery</v>
      </c>
      <c r="J18" t="str">
        <f>TRIM('01_Raw'!J18)</f>
        <v>Processing</v>
      </c>
      <c r="N18" t="b">
        <f>ISNUMBER('01_Raw'!D19)</f>
        <v>0</v>
      </c>
      <c r="P18" t="str">
        <f>LEFT('01_Raw'!D19, FIND("/",'01_Raw'!D19) - 1)</f>
        <v>2</v>
      </c>
      <c r="Q18" t="str">
        <f>IFERROR(RIGHT('01_Raw'!D19,4),"Invalid")</f>
        <v>2025</v>
      </c>
      <c r="R18" t="str">
        <f>MID('01_Raw'!D19,FIND("/",'01_Raw'!D19) + 1,FIND("/",'01_Raw'!D19,FIND("/",'01_Raw'!D19)+1)-FIND("/",'01_Raw'!D19)-1)</f>
        <v>12</v>
      </c>
      <c r="S18" s="1">
        <f t="shared" si="0"/>
        <v>45700</v>
      </c>
      <c r="U18">
        <f>IFERROR(VALUE(SUBSTITUTE(SUBSTITUTE('01_Raw'!H19,"$",""), ".",",")),"Invalid")</f>
        <v>10000</v>
      </c>
      <c r="V18">
        <f>IFERROR(VALUE('01_Raw'!G19), "Invalid")</f>
        <v>-2</v>
      </c>
      <c r="X18">
        <f>IF(ISBLANK('01_Raw'!H19),"Missing", IFERROR(VALUE(SUBSTITUTE(SUBSTITUTE('01_Raw'!H19,"$",""), ".",",")),"Invalid"))</f>
        <v>10000</v>
      </c>
      <c r="Y18">
        <f>IF(LEN(TRIM('01_Raw'!H19)) = 0, "Missing",IFERROR(VALUE(SUBSTITUTE(SUBSTITUTE('01_Raw'!H19,"$",""), ".",",")),"Invalid"))</f>
        <v>10000</v>
      </c>
      <c r="AA18">
        <f>IF(LEN(TRIM('01_Raw'!G19)) = 0, "Missing",IFERROR(VALUE(SUBSTITUTE(SUBSTITUTE('01_Raw'!G19,"$",""), ".",",")),"Invalid"))</f>
        <v>-2</v>
      </c>
      <c r="AC18">
        <f>COUNTIF($A$2:$A$103,A19)</f>
        <v>1</v>
      </c>
      <c r="AE18">
        <f>COUNTIF(messy_ecommerce_sales_data__2[Order_ID],'01_Raw'!C19)</f>
        <v>1</v>
      </c>
      <c r="AG18">
        <f t="shared" si="1"/>
        <v>-20000</v>
      </c>
      <c r="AH18" t="str">
        <f>IF(AG18='01_Raw'!K19,"OK","Mismatch")</f>
        <v>Mismatch</v>
      </c>
      <c r="AJ18">
        <f t="shared" si="2"/>
        <v>-20000</v>
      </c>
      <c r="AK18" t="str">
        <f t="shared" si="3"/>
        <v>OK</v>
      </c>
    </row>
    <row r="19" spans="1:37" x14ac:dyDescent="0.3">
      <c r="A19">
        <f>'01_Raw'!A19</f>
        <v>117</v>
      </c>
      <c r="B19" t="str">
        <f>TRIM('01_Raw'!B19)</f>
        <v>Customer_117</v>
      </c>
      <c r="D19" s="1">
        <f t="shared" si="4"/>
        <v>45700</v>
      </c>
      <c r="E19" t="str">
        <f>TRIM('01_Raw'!E19)</f>
        <v>Blender</v>
      </c>
      <c r="F19" t="str">
        <f>IF(PROPER(TRIM('01_Raw'!F19))="Electronic","Electronics",PROPER(TRIM('01_Raw'!F19)))</f>
        <v>Electronics</v>
      </c>
      <c r="I19" t="str">
        <f>TRIM('01_Raw'!I19)</f>
        <v>Cash on Delivery</v>
      </c>
      <c r="J19" t="str">
        <f>TRIM('01_Raw'!J19)</f>
        <v>Processing</v>
      </c>
      <c r="N19" t="b">
        <f>ISNUMBER('01_Raw'!D20)</f>
        <v>0</v>
      </c>
      <c r="P19" t="str">
        <f>LEFT('01_Raw'!D20, FIND("/",'01_Raw'!D20) - 1)</f>
        <v>5</v>
      </c>
      <c r="Q19" t="str">
        <f>IFERROR(RIGHT('01_Raw'!D20,4),"Invalid")</f>
        <v>2025</v>
      </c>
      <c r="R19" t="str">
        <f>MID('01_Raw'!D20,FIND("/",'01_Raw'!D20) + 1,FIND("/",'01_Raw'!D20,FIND("/",'01_Raw'!D20)+1)-FIND("/",'01_Raw'!D20)-1)</f>
        <v>31</v>
      </c>
      <c r="S19" s="1">
        <f t="shared" si="0"/>
        <v>45808</v>
      </c>
      <c r="U19">
        <f>IFERROR(VALUE(SUBSTITUTE(SUBSTITUTE('01_Raw'!H20,"$",""), ".",",")),"Invalid")</f>
        <v>247.82</v>
      </c>
      <c r="V19">
        <f>IFERROR(VALUE('01_Raw'!G20), "Invalid")</f>
        <v>5</v>
      </c>
      <c r="X19">
        <f>IF(ISBLANK('01_Raw'!H20),"Missing", IFERROR(VALUE(SUBSTITUTE(SUBSTITUTE('01_Raw'!H20,"$",""), ".",",")),"Invalid"))</f>
        <v>247.82</v>
      </c>
      <c r="Y19">
        <f>IF(LEN(TRIM('01_Raw'!H20)) = 0, "Missing",IFERROR(VALUE(SUBSTITUTE(SUBSTITUTE('01_Raw'!H20,"$",""), ".",",")),"Invalid"))</f>
        <v>247.82</v>
      </c>
      <c r="AA19">
        <f>IF(LEN(TRIM('01_Raw'!G20)) = 0, "Missing",IFERROR(VALUE(SUBSTITUTE(SUBSTITUTE('01_Raw'!G20,"$",""), ".",",")),"Invalid"))</f>
        <v>5</v>
      </c>
      <c r="AC19">
        <f>COUNTIF($A$2:$A$103,A20)</f>
        <v>1</v>
      </c>
      <c r="AE19">
        <f>COUNTIF(messy_ecommerce_sales_data__2[Order_ID],'01_Raw'!C20)</f>
        <v>1</v>
      </c>
      <c r="AG19">
        <f t="shared" si="1"/>
        <v>1239.0999999999999</v>
      </c>
      <c r="AH19" t="str">
        <f>IF(AG19='01_Raw'!K20,"OK","Mismatch")</f>
        <v>Mismatch</v>
      </c>
      <c r="AJ19">
        <f t="shared" si="2"/>
        <v>1239.0999999999999</v>
      </c>
      <c r="AK19" t="str">
        <f t="shared" si="3"/>
        <v>OK</v>
      </c>
    </row>
    <row r="20" spans="1:37" x14ac:dyDescent="0.3">
      <c r="A20">
        <f>'01_Raw'!A20</f>
        <v>118</v>
      </c>
      <c r="B20" t="str">
        <f>TRIM('01_Raw'!B20)</f>
        <v>Customer_118</v>
      </c>
      <c r="D20" s="1">
        <f t="shared" si="4"/>
        <v>45808</v>
      </c>
      <c r="E20" t="str">
        <f>TRIM('01_Raw'!E20)</f>
        <v>Science</v>
      </c>
      <c r="F20" t="str">
        <f>IF(PROPER(TRIM('01_Raw'!F20))="Electronic","Electronics",PROPER(TRIM('01_Raw'!F20)))</f>
        <v>Books</v>
      </c>
      <c r="I20" t="str">
        <f>TRIM('01_Raw'!I20)</f>
        <v>PayPal</v>
      </c>
      <c r="J20" t="str">
        <f>TRIM('01_Raw'!J20)</f>
        <v>Processing</v>
      </c>
      <c r="N20" t="b">
        <f>ISNUMBER('01_Raw'!D21)</f>
        <v>0</v>
      </c>
      <c r="P20" t="str">
        <f>LEFT('01_Raw'!D21, FIND("/",'01_Raw'!D21) - 1)</f>
        <v>12</v>
      </c>
      <c r="Q20" t="str">
        <f>IFERROR(RIGHT('01_Raw'!D21,4),"Invalid")</f>
        <v>2024</v>
      </c>
      <c r="R20" t="str">
        <f>MID('01_Raw'!D21,FIND("/",'01_Raw'!D21) + 1,FIND("/",'01_Raw'!D21,FIND("/",'01_Raw'!D21)+1)-FIND("/",'01_Raw'!D21)-1)</f>
        <v>19</v>
      </c>
      <c r="S20" s="1">
        <f t="shared" si="0"/>
        <v>45645</v>
      </c>
      <c r="U20">
        <f>IFERROR(VALUE(SUBSTITUTE(SUBSTITUTE('01_Raw'!H21,"$",""), ".",",")),"Invalid")</f>
        <v>438.19</v>
      </c>
      <c r="V20">
        <f>IFERROR(VALUE('01_Raw'!G21), "Invalid")</f>
        <v>4</v>
      </c>
      <c r="X20">
        <f>IF(ISBLANK('01_Raw'!H21),"Missing", IFERROR(VALUE(SUBSTITUTE(SUBSTITUTE('01_Raw'!H21,"$",""), ".",",")),"Invalid"))</f>
        <v>438.19</v>
      </c>
      <c r="Y20">
        <f>IF(LEN(TRIM('01_Raw'!H21)) = 0, "Missing",IFERROR(VALUE(SUBSTITUTE(SUBSTITUTE('01_Raw'!H21,"$",""), ".",",")),"Invalid"))</f>
        <v>438.19</v>
      </c>
      <c r="AA20">
        <f>IF(LEN(TRIM('01_Raw'!G21)) = 0, "Missing",IFERROR(VALUE(SUBSTITUTE(SUBSTITUTE('01_Raw'!G21,"$",""), ".",",")),"Invalid"))</f>
        <v>4</v>
      </c>
      <c r="AC20">
        <f>COUNTIF($A$2:$A$103,A21)</f>
        <v>1</v>
      </c>
      <c r="AE20">
        <f>COUNTIF(messy_ecommerce_sales_data__2[Order_ID],'01_Raw'!C21)</f>
        <v>1</v>
      </c>
      <c r="AG20">
        <f t="shared" si="1"/>
        <v>1752.76</v>
      </c>
      <c r="AH20" t="str">
        <f>IF(AG20='01_Raw'!K21,"OK","Mismatch")</f>
        <v>Mismatch</v>
      </c>
      <c r="AJ20">
        <f t="shared" si="2"/>
        <v>1752.76</v>
      </c>
      <c r="AK20" t="str">
        <f t="shared" si="3"/>
        <v>OK</v>
      </c>
    </row>
    <row r="21" spans="1:37" x14ac:dyDescent="0.3">
      <c r="A21">
        <f>'01_Raw'!A21</f>
        <v>119</v>
      </c>
      <c r="B21" t="str">
        <f>TRIM('01_Raw'!B21)</f>
        <v>Customer_119</v>
      </c>
      <c r="D21" s="1">
        <f t="shared" si="4"/>
        <v>45645</v>
      </c>
      <c r="E21" t="str">
        <f>TRIM('01_Raw'!E21)</f>
        <v>Basketball</v>
      </c>
      <c r="F21" t="str">
        <f>IF(PROPER(TRIM('01_Raw'!F21))="Electronic","Electronics",PROPER(TRIM('01_Raw'!F21)))</f>
        <v>Sports</v>
      </c>
      <c r="I21" t="str">
        <f>TRIM('01_Raw'!I21)</f>
        <v>Cash on Delivery</v>
      </c>
      <c r="J21" t="str">
        <f>TRIM('01_Raw'!J21)</f>
        <v>Processing</v>
      </c>
      <c r="N21" t="b">
        <f>ISNUMBER('01_Raw'!D22)</f>
        <v>0</v>
      </c>
      <c r="P21" t="str">
        <f>LEFT('01_Raw'!D22, FIND("/",'01_Raw'!D22) - 1)</f>
        <v>6</v>
      </c>
      <c r="Q21" t="str">
        <f>IFERROR(RIGHT('01_Raw'!D22,4),"Invalid")</f>
        <v>2025</v>
      </c>
      <c r="R21" t="str">
        <f>MID('01_Raw'!D22,FIND("/",'01_Raw'!D22) + 1,FIND("/",'01_Raw'!D22,FIND("/",'01_Raw'!D22)+1)-FIND("/",'01_Raw'!D22)-1)</f>
        <v>13</v>
      </c>
      <c r="S21" s="1">
        <f t="shared" si="0"/>
        <v>45821</v>
      </c>
      <c r="U21">
        <f>IFERROR(VALUE(SUBSTITUTE(SUBSTITUTE('01_Raw'!H22,"$",""), ".",",")),"Invalid")</f>
        <v>300</v>
      </c>
      <c r="V21">
        <f>IFERROR(VALUE('01_Raw'!G22), "Invalid")</f>
        <v>5</v>
      </c>
      <c r="X21">
        <f>IF(ISBLANK('01_Raw'!H22),"Missing", IFERROR(VALUE(SUBSTITUTE(SUBSTITUTE('01_Raw'!H22,"$",""), ".",",")),"Invalid"))</f>
        <v>300</v>
      </c>
      <c r="Y21">
        <f>IF(LEN(TRIM('01_Raw'!H22)) = 0, "Missing",IFERROR(VALUE(SUBSTITUTE(SUBSTITUTE('01_Raw'!H22,"$",""), ".",",")),"Invalid"))</f>
        <v>300</v>
      </c>
      <c r="AA21">
        <f>IF(LEN(TRIM('01_Raw'!G22)) = 0, "Missing",IFERROR(VALUE(SUBSTITUTE(SUBSTITUTE('01_Raw'!G22,"$",""), ".",",")),"Invalid"))</f>
        <v>5</v>
      </c>
      <c r="AC21">
        <f>COUNTIF($A$2:$A$103,A22)</f>
        <v>1</v>
      </c>
      <c r="AE21">
        <f>COUNTIF(messy_ecommerce_sales_data__2[Order_ID],'01_Raw'!C22)</f>
        <v>1</v>
      </c>
      <c r="AG21">
        <f t="shared" si="1"/>
        <v>1500</v>
      </c>
      <c r="AH21" t="str">
        <f>IF(AG21='01_Raw'!K22,"OK","Mismatch")</f>
        <v>Mismatch</v>
      </c>
      <c r="AJ21">
        <f t="shared" si="2"/>
        <v>1500</v>
      </c>
      <c r="AK21" t="str">
        <f t="shared" si="3"/>
        <v>OK</v>
      </c>
    </row>
    <row r="22" spans="1:37" x14ac:dyDescent="0.3">
      <c r="A22">
        <f>'01_Raw'!A22</f>
        <v>120</v>
      </c>
      <c r="B22" t="str">
        <f>TRIM('01_Raw'!B22)</f>
        <v>Customer_120</v>
      </c>
      <c r="D22" s="1">
        <f t="shared" si="4"/>
        <v>45821</v>
      </c>
      <c r="E22" t="str">
        <f>TRIM('01_Raw'!E22)</f>
        <v>Yoga Mat</v>
      </c>
      <c r="F22" t="str">
        <f>IF(PROPER(TRIM('01_Raw'!F22))="Electronic","Electronics",PROPER(TRIM('01_Raw'!F22)))</f>
        <v>Electronics</v>
      </c>
      <c r="I22" t="str">
        <f>TRIM('01_Raw'!I22)</f>
        <v>Credit Card</v>
      </c>
      <c r="J22" t="str">
        <f>TRIM('01_Raw'!J22)</f>
        <v>Cancelled</v>
      </c>
      <c r="N22" t="b">
        <f>ISNUMBER('01_Raw'!D23)</f>
        <v>0</v>
      </c>
      <c r="P22" t="str">
        <f>LEFT('01_Raw'!D23, FIND("/",'01_Raw'!D23) - 1)</f>
        <v>10</v>
      </c>
      <c r="Q22" t="str">
        <f>IFERROR(RIGHT('01_Raw'!D23,4),"Invalid")</f>
        <v>2025</v>
      </c>
      <c r="R22" t="str">
        <f>MID('01_Raw'!D23,FIND("/",'01_Raw'!D23) + 1,FIND("/",'01_Raw'!D23,FIND("/",'01_Raw'!D23)+1)-FIND("/",'01_Raw'!D23)-1)</f>
        <v>11</v>
      </c>
      <c r="S22" s="1">
        <f t="shared" si="0"/>
        <v>45941</v>
      </c>
      <c r="U22">
        <f>IFERROR(VALUE(SUBSTITUTE(SUBSTITUTE('01_Raw'!H23,"$",""), ".",",")),"Invalid")</f>
        <v>523.01</v>
      </c>
      <c r="V22">
        <f>IFERROR(VALUE('01_Raw'!G23), "Invalid")</f>
        <v>4</v>
      </c>
      <c r="X22">
        <f>IF(ISBLANK('01_Raw'!H23),"Missing", IFERROR(VALUE(SUBSTITUTE(SUBSTITUTE('01_Raw'!H23,"$",""), ".",",")),"Invalid"))</f>
        <v>523.01</v>
      </c>
      <c r="Y22">
        <f>IF(LEN(TRIM('01_Raw'!H23)) = 0, "Missing",IFERROR(VALUE(SUBSTITUTE(SUBSTITUTE('01_Raw'!H23,"$",""), ".",",")),"Invalid"))</f>
        <v>523.01</v>
      </c>
      <c r="AA22">
        <f>IF(LEN(TRIM('01_Raw'!G23)) = 0, "Missing",IFERROR(VALUE(SUBSTITUTE(SUBSTITUTE('01_Raw'!G23,"$",""), ".",",")),"Invalid"))</f>
        <v>4</v>
      </c>
      <c r="AC22">
        <f>COUNTIF($A$2:$A$103,A23)</f>
        <v>1</v>
      </c>
      <c r="AE22">
        <f>COUNTIF(messy_ecommerce_sales_data__2[Order_ID],'01_Raw'!C23)</f>
        <v>1</v>
      </c>
      <c r="AG22">
        <f t="shared" si="1"/>
        <v>2092.04</v>
      </c>
      <c r="AH22" t="str">
        <f>IF(AG22='01_Raw'!K23,"OK","Mismatch")</f>
        <v>Mismatch</v>
      </c>
      <c r="AJ22">
        <f t="shared" si="2"/>
        <v>2092.04</v>
      </c>
      <c r="AK22" t="str">
        <f t="shared" si="3"/>
        <v>OK</v>
      </c>
    </row>
    <row r="23" spans="1:37" x14ac:dyDescent="0.3">
      <c r="A23">
        <f>'01_Raw'!A23</f>
        <v>121</v>
      </c>
      <c r="B23" t="str">
        <f>TRIM('01_Raw'!B23)</f>
        <v>Customer_121</v>
      </c>
      <c r="D23" s="1">
        <f t="shared" si="4"/>
        <v>45941</v>
      </c>
      <c r="E23" t="str">
        <f>TRIM('01_Raw'!E23)</f>
        <v>Basketball</v>
      </c>
      <c r="F23" t="str">
        <f>IF(PROPER(TRIM('01_Raw'!F23))="Electronic","Electronics",PROPER(TRIM('01_Raw'!F23)))</f>
        <v>Sports</v>
      </c>
      <c r="I23" t="str">
        <f>TRIM('01_Raw'!I23)</f>
        <v>Credit Card</v>
      </c>
      <c r="J23" t="str">
        <f>TRIM('01_Raw'!J23)</f>
        <v>Delivered</v>
      </c>
      <c r="N23" t="b">
        <f>ISNUMBER('01_Raw'!D24)</f>
        <v>0</v>
      </c>
      <c r="P23" t="str">
        <f>LEFT('01_Raw'!D24, FIND("/",'01_Raw'!D24) - 1)</f>
        <v>5</v>
      </c>
      <c r="Q23" t="str">
        <f>IFERROR(RIGHT('01_Raw'!D24,4),"Invalid")</f>
        <v>2025</v>
      </c>
      <c r="R23" t="str">
        <f>MID('01_Raw'!D24,FIND("/",'01_Raw'!D24) + 1,FIND("/",'01_Raw'!D24,FIND("/",'01_Raw'!D24)+1)-FIND("/",'01_Raw'!D24)-1)</f>
        <v>16</v>
      </c>
      <c r="S23" s="1">
        <f t="shared" si="0"/>
        <v>45793</v>
      </c>
      <c r="U23">
        <f>IFERROR(VALUE(SUBSTITUTE(SUBSTITUTE('01_Raw'!H24,"$",""), ".",",")),"Invalid")</f>
        <v>556.92999999999995</v>
      </c>
      <c r="V23">
        <f>IFERROR(VALUE('01_Raw'!G24), "Invalid")</f>
        <v>2</v>
      </c>
      <c r="X23">
        <f>IF(ISBLANK('01_Raw'!H24),"Missing", IFERROR(VALUE(SUBSTITUTE(SUBSTITUTE('01_Raw'!H24,"$",""), ".",",")),"Invalid"))</f>
        <v>556.92999999999995</v>
      </c>
      <c r="Y23">
        <f>IF(LEN(TRIM('01_Raw'!H24)) = 0, "Missing",IFERROR(VALUE(SUBSTITUTE(SUBSTITUTE('01_Raw'!H24,"$",""), ".",",")),"Invalid"))</f>
        <v>556.92999999999995</v>
      </c>
      <c r="AA23">
        <f>IF(LEN(TRIM('01_Raw'!G24)) = 0, "Missing",IFERROR(VALUE(SUBSTITUTE(SUBSTITUTE('01_Raw'!G24,"$",""), ".",",")),"Invalid"))</f>
        <v>2</v>
      </c>
      <c r="AC23">
        <f>COUNTIF($A$2:$A$103,A24)</f>
        <v>1</v>
      </c>
      <c r="AE23">
        <f>COUNTIF(messy_ecommerce_sales_data__2[Order_ID],'01_Raw'!C24)</f>
        <v>1</v>
      </c>
      <c r="AG23">
        <f t="shared" si="1"/>
        <v>1113.8599999999999</v>
      </c>
      <c r="AH23" t="str">
        <f>IF(AG23='01_Raw'!K24,"OK","Mismatch")</f>
        <v>Mismatch</v>
      </c>
      <c r="AJ23">
        <f t="shared" si="2"/>
        <v>1113.8599999999999</v>
      </c>
      <c r="AK23" t="str">
        <f t="shared" si="3"/>
        <v>OK</v>
      </c>
    </row>
    <row r="24" spans="1:37" x14ac:dyDescent="0.3">
      <c r="A24">
        <f>'01_Raw'!A24</f>
        <v>122</v>
      </c>
      <c r="B24" t="str">
        <f>TRIM('01_Raw'!B24)</f>
        <v>Customer_122</v>
      </c>
      <c r="D24" s="1">
        <f t="shared" si="4"/>
        <v>45793</v>
      </c>
      <c r="E24" t="str">
        <f>TRIM('01_Raw'!E24)</f>
        <v>Microwave</v>
      </c>
      <c r="F24" t="str">
        <f>IF(PROPER(TRIM('01_Raw'!F24))="Electronic","Electronics",PROPER(TRIM('01_Raw'!F24)))</f>
        <v>Home</v>
      </c>
      <c r="I24" t="str">
        <f>TRIM('01_Raw'!I24)</f>
        <v>PayPal</v>
      </c>
      <c r="J24" t="str">
        <f>TRIM('01_Raw'!J24)</f>
        <v>Shipped</v>
      </c>
      <c r="N24" t="b">
        <f>ISNUMBER('01_Raw'!D25)</f>
        <v>0</v>
      </c>
      <c r="P24" t="str">
        <f>LEFT('01_Raw'!D25, FIND("/",'01_Raw'!D25) - 1)</f>
        <v>10</v>
      </c>
      <c r="Q24" t="str">
        <f>IFERROR(RIGHT('01_Raw'!D25,4),"Invalid")</f>
        <v>2025</v>
      </c>
      <c r="R24" t="str">
        <f>MID('01_Raw'!D25,FIND("/",'01_Raw'!D25) + 1,FIND("/",'01_Raw'!D25,FIND("/",'01_Raw'!D25)+1)-FIND("/",'01_Raw'!D25)-1)</f>
        <v>6</v>
      </c>
      <c r="S24" s="1">
        <f t="shared" si="0"/>
        <v>45936</v>
      </c>
      <c r="U24">
        <f>IFERROR(VALUE(SUBSTITUTE(SUBSTITUTE('01_Raw'!H25,"$",""), ".",",")),"Invalid")</f>
        <v>615.91</v>
      </c>
      <c r="V24">
        <f>IFERROR(VALUE('01_Raw'!G25), "Invalid")</f>
        <v>3</v>
      </c>
      <c r="X24">
        <f>IF(ISBLANK('01_Raw'!H25),"Missing", IFERROR(VALUE(SUBSTITUTE(SUBSTITUTE('01_Raw'!H25,"$",""), ".",",")),"Invalid"))</f>
        <v>615.91</v>
      </c>
      <c r="Y24">
        <f>IF(LEN(TRIM('01_Raw'!H25)) = 0, "Missing",IFERROR(VALUE(SUBSTITUTE(SUBSTITUTE('01_Raw'!H25,"$",""), ".",",")),"Invalid"))</f>
        <v>615.91</v>
      </c>
      <c r="AA24">
        <f>IF(LEN(TRIM('01_Raw'!G25)) = 0, "Missing",IFERROR(VALUE(SUBSTITUTE(SUBSTITUTE('01_Raw'!G25,"$",""), ".",",")),"Invalid"))</f>
        <v>3</v>
      </c>
      <c r="AC24">
        <f>COUNTIF($A$2:$A$103,A25)</f>
        <v>1</v>
      </c>
      <c r="AE24">
        <f>COUNTIF(messy_ecommerce_sales_data__2[Order_ID],'01_Raw'!C25)</f>
        <v>1</v>
      </c>
      <c r="AG24">
        <f t="shared" si="1"/>
        <v>1847.73</v>
      </c>
      <c r="AH24" t="str">
        <f>IF(AG24='01_Raw'!K25,"OK","Mismatch")</f>
        <v>Mismatch</v>
      </c>
      <c r="AJ24">
        <f t="shared" si="2"/>
        <v>1847.73</v>
      </c>
      <c r="AK24" t="str">
        <f t="shared" si="3"/>
        <v>OK</v>
      </c>
    </row>
    <row r="25" spans="1:37" x14ac:dyDescent="0.3">
      <c r="A25">
        <f>'01_Raw'!A25</f>
        <v>123</v>
      </c>
      <c r="B25" t="str">
        <f>TRIM('01_Raw'!B25)</f>
        <v>Customer_123</v>
      </c>
      <c r="D25" s="1">
        <f t="shared" si="4"/>
        <v>45936</v>
      </c>
      <c r="E25" t="str">
        <f>TRIM('01_Raw'!E25)</f>
        <v>Vacuum</v>
      </c>
      <c r="F25" t="str">
        <f>IF(PROPER(TRIM('01_Raw'!F25))="Electronic","Electronics",PROPER(TRIM('01_Raw'!F25)))</f>
        <v>Electronics</v>
      </c>
      <c r="I25" t="str">
        <f>TRIM('01_Raw'!I25)</f>
        <v>Cash on Delivery</v>
      </c>
      <c r="J25" t="str">
        <f>TRIM('01_Raw'!J25)</f>
        <v>Cancelled</v>
      </c>
      <c r="N25" t="b">
        <f>ISNUMBER('01_Raw'!D26)</f>
        <v>0</v>
      </c>
      <c r="P25" t="str">
        <f>LEFT('01_Raw'!D26, FIND("/",'01_Raw'!D26) - 1)</f>
        <v>5</v>
      </c>
      <c r="Q25" t="str">
        <f>IFERROR(RIGHT('01_Raw'!D26,4),"Invalid")</f>
        <v>2025</v>
      </c>
      <c r="R25" t="str">
        <f>MID('01_Raw'!D26,FIND("/",'01_Raw'!D26) + 1,FIND("/",'01_Raw'!D26,FIND("/",'01_Raw'!D26)+1)-FIND("/",'01_Raw'!D26)-1)</f>
        <v>31</v>
      </c>
      <c r="S25" s="1">
        <f t="shared" si="0"/>
        <v>45808</v>
      </c>
      <c r="U25" t="str">
        <f>IFERROR(VALUE(SUBSTITUTE(SUBSTITUTE('01_Raw'!H26,"$",""), ".",",")),"Invalid")</f>
        <v>Invalid</v>
      </c>
      <c r="V25">
        <f>IFERROR(VALUE('01_Raw'!G26), "Invalid")</f>
        <v>5</v>
      </c>
      <c r="X25" t="str">
        <f>IF(ISBLANK('01_Raw'!H26),"Missing", IFERROR(VALUE(SUBSTITUTE(SUBSTITUTE('01_Raw'!H26,"$",""), ".",",")),"Invalid"))</f>
        <v>Invalid</v>
      </c>
      <c r="Y25" t="str">
        <f>IF(LEN(TRIM('01_Raw'!H26)) = 0, "Missing",IFERROR(VALUE(SUBSTITUTE(SUBSTITUTE('01_Raw'!H26,"$",""), ".",",")),"Invalid"))</f>
        <v>Missing</v>
      </c>
      <c r="AA25">
        <f>IF(LEN(TRIM('01_Raw'!G26)) = 0, "Missing",IFERROR(VALUE(SUBSTITUTE(SUBSTITUTE('01_Raw'!G26,"$",""), ".",",")),"Invalid"))</f>
        <v>5</v>
      </c>
      <c r="AC25">
        <f>COUNTIF($A$2:$A$103,A26)</f>
        <v>1</v>
      </c>
      <c r="AE25">
        <f>COUNTIF(messy_ecommerce_sales_data__2[Order_ID],'01_Raw'!C26)</f>
        <v>1</v>
      </c>
      <c r="AG25" t="str">
        <f t="shared" si="1"/>
        <v>Cannot Calculate</v>
      </c>
      <c r="AH25" t="str">
        <f>IF(AG25='01_Raw'!K26,"OK","Mismatch")</f>
        <v>Mismatch</v>
      </c>
      <c r="AJ25" t="str">
        <f t="shared" si="2"/>
        <v>Invalid</v>
      </c>
      <c r="AK25" t="str">
        <f t="shared" si="3"/>
        <v>Mismatch</v>
      </c>
    </row>
    <row r="26" spans="1:37" x14ac:dyDescent="0.3">
      <c r="A26">
        <f>'01_Raw'!A26</f>
        <v>124</v>
      </c>
      <c r="B26" t="str">
        <f>TRIM('01_Raw'!B26)</f>
        <v>Customer_124</v>
      </c>
      <c r="D26" s="1">
        <f t="shared" si="4"/>
        <v>45808</v>
      </c>
      <c r="E26" t="str">
        <f>TRIM('01_Raw'!E26)</f>
        <v>Comics</v>
      </c>
      <c r="F26" t="str">
        <f>IF(PROPER(TRIM('01_Raw'!F26))="Electronic","Electronics",PROPER(TRIM('01_Raw'!F26)))</f>
        <v>Books</v>
      </c>
      <c r="I26" t="str">
        <f>TRIM('01_Raw'!I26)</f>
        <v>PayPal</v>
      </c>
      <c r="J26" t="str">
        <f>TRIM('01_Raw'!J26)</f>
        <v>Cancelled</v>
      </c>
      <c r="N26" t="b">
        <f>ISNUMBER('01_Raw'!D27)</f>
        <v>0</v>
      </c>
      <c r="P26" t="str">
        <f>LEFT('01_Raw'!D27, FIND("/",'01_Raw'!D27) - 1)</f>
        <v>2</v>
      </c>
      <c r="Q26" t="str">
        <f>IFERROR(RIGHT('01_Raw'!D27,4),"Invalid")</f>
        <v>2025</v>
      </c>
      <c r="R26" t="str">
        <f>MID('01_Raw'!D27,FIND("/",'01_Raw'!D27) + 1,FIND("/",'01_Raw'!D27,FIND("/",'01_Raw'!D27)+1)-FIND("/",'01_Raw'!D27)-1)</f>
        <v>9</v>
      </c>
      <c r="S26" s="1">
        <f t="shared" si="0"/>
        <v>45697</v>
      </c>
      <c r="U26">
        <f>IFERROR(VALUE(SUBSTITUTE(SUBSTITUTE('01_Raw'!H27,"$",""), ".",",")),"Invalid")</f>
        <v>765.69</v>
      </c>
      <c r="V26">
        <f>IFERROR(VALUE('01_Raw'!G27), "Invalid")</f>
        <v>4</v>
      </c>
      <c r="X26">
        <f>IF(ISBLANK('01_Raw'!H27),"Missing", IFERROR(VALUE(SUBSTITUTE(SUBSTITUTE('01_Raw'!H27,"$",""), ".",",")),"Invalid"))</f>
        <v>765.69</v>
      </c>
      <c r="Y26">
        <f>IF(LEN(TRIM('01_Raw'!H27)) = 0, "Missing",IFERROR(VALUE(SUBSTITUTE(SUBSTITUTE('01_Raw'!H27,"$",""), ".",",")),"Invalid"))</f>
        <v>765.69</v>
      </c>
      <c r="AA26">
        <f>IF(LEN(TRIM('01_Raw'!G27)) = 0, "Missing",IFERROR(VALUE(SUBSTITUTE(SUBSTITUTE('01_Raw'!G27,"$",""), ".",",")),"Invalid"))</f>
        <v>4</v>
      </c>
      <c r="AC26">
        <f>COUNTIF($A$2:$A$103,A27)</f>
        <v>1</v>
      </c>
      <c r="AE26">
        <f>COUNTIF(messy_ecommerce_sales_data__2[Order_ID],'01_Raw'!C27)</f>
        <v>1</v>
      </c>
      <c r="AG26">
        <f t="shared" si="1"/>
        <v>3062.76</v>
      </c>
      <c r="AH26" t="str">
        <f>IF(AG26='01_Raw'!K27,"OK","Mismatch")</f>
        <v>Mismatch</v>
      </c>
      <c r="AJ26">
        <f t="shared" si="2"/>
        <v>3062.76</v>
      </c>
      <c r="AK26" t="str">
        <f t="shared" si="3"/>
        <v>OK</v>
      </c>
    </row>
    <row r="27" spans="1:37" x14ac:dyDescent="0.3">
      <c r="A27">
        <f>'01_Raw'!A27</f>
        <v>125</v>
      </c>
      <c r="B27" t="str">
        <f>TRIM('01_Raw'!B27)</f>
        <v>Customer_125</v>
      </c>
      <c r="D27" s="1">
        <f t="shared" si="4"/>
        <v>45697</v>
      </c>
      <c r="E27" t="str">
        <f>TRIM('01_Raw'!E27)</f>
        <v>Comics</v>
      </c>
      <c r="F27" t="str">
        <f>IF(PROPER(TRIM('01_Raw'!F27))="Electronic","Electronics",PROPER(TRIM('01_Raw'!F27)))</f>
        <v>Books</v>
      </c>
      <c r="I27" t="str">
        <f>TRIM('01_Raw'!I27)</f>
        <v>PayPal</v>
      </c>
      <c r="J27" t="str">
        <f>TRIM('01_Raw'!J27)</f>
        <v>Shipped</v>
      </c>
      <c r="N27" t="b">
        <f>ISNUMBER('01_Raw'!D28)</f>
        <v>0</v>
      </c>
      <c r="P27" t="str">
        <f>LEFT('01_Raw'!D28, FIND("/",'01_Raw'!D28) - 1)</f>
        <v>5</v>
      </c>
      <c r="Q27" t="str">
        <f>IFERROR(RIGHT('01_Raw'!D28,4),"Invalid")</f>
        <v>2025</v>
      </c>
      <c r="R27" t="str">
        <f>MID('01_Raw'!D28,FIND("/",'01_Raw'!D28) + 1,FIND("/",'01_Raw'!D28,FIND("/",'01_Raw'!D28)+1)-FIND("/",'01_Raw'!D28)-1)</f>
        <v>18</v>
      </c>
      <c r="S27" s="1">
        <f t="shared" si="0"/>
        <v>45795</v>
      </c>
      <c r="U27">
        <f>IFERROR(VALUE(SUBSTITUTE(SUBSTITUTE('01_Raw'!H28,"$",""), ".",",")),"Invalid")</f>
        <v>836.8</v>
      </c>
      <c r="V27">
        <f>IFERROR(VALUE('01_Raw'!G28), "Invalid")</f>
        <v>4</v>
      </c>
      <c r="X27">
        <f>IF(ISBLANK('01_Raw'!H28),"Missing", IFERROR(VALUE(SUBSTITUTE(SUBSTITUTE('01_Raw'!H28,"$",""), ".",",")),"Invalid"))</f>
        <v>836.8</v>
      </c>
      <c r="Y27">
        <f>IF(LEN(TRIM('01_Raw'!H28)) = 0, "Missing",IFERROR(VALUE(SUBSTITUTE(SUBSTITUTE('01_Raw'!H28,"$",""), ".",",")),"Invalid"))</f>
        <v>836.8</v>
      </c>
      <c r="AA27">
        <f>IF(LEN(TRIM('01_Raw'!G28)) = 0, "Missing",IFERROR(VALUE(SUBSTITUTE(SUBSTITUTE('01_Raw'!G28,"$",""), ".",",")),"Invalid"))</f>
        <v>4</v>
      </c>
      <c r="AC27">
        <f>COUNTIF($A$2:$A$103,A28)</f>
        <v>1</v>
      </c>
      <c r="AE27">
        <f>COUNTIF(messy_ecommerce_sales_data__2[Order_ID],'01_Raw'!C28)</f>
        <v>1</v>
      </c>
      <c r="AG27">
        <f t="shared" si="1"/>
        <v>3347.2</v>
      </c>
      <c r="AH27" t="str">
        <f>IF(AG27='01_Raw'!K28,"OK","Mismatch")</f>
        <v>Mismatch</v>
      </c>
      <c r="AJ27">
        <f t="shared" si="2"/>
        <v>3347.2</v>
      </c>
      <c r="AK27" t="str">
        <f t="shared" si="3"/>
        <v>OK</v>
      </c>
    </row>
    <row r="28" spans="1:37" x14ac:dyDescent="0.3">
      <c r="A28">
        <f>'01_Raw'!A28</f>
        <v>126</v>
      </c>
      <c r="B28" t="str">
        <f>TRIM('01_Raw'!B28)</f>
        <v>Customer_126</v>
      </c>
      <c r="D28" s="1">
        <f t="shared" si="4"/>
        <v>45795</v>
      </c>
      <c r="E28" t="str">
        <f>TRIM('01_Raw'!E28)</f>
        <v>Shoes</v>
      </c>
      <c r="F28" t="str">
        <f>IF(PROPER(TRIM('01_Raw'!F28))="Electronic","Electronics",PROPER(TRIM('01_Raw'!F28)))</f>
        <v>Clothing</v>
      </c>
      <c r="I28" t="str">
        <f>TRIM('01_Raw'!I28)</f>
        <v>Bank Transfer</v>
      </c>
      <c r="J28" t="str">
        <f>TRIM('01_Raw'!J28)</f>
        <v>Cancelled</v>
      </c>
      <c r="N28" t="b">
        <f>ISNUMBER('01_Raw'!D29)</f>
        <v>0</v>
      </c>
      <c r="P28" t="str">
        <f>LEFT('01_Raw'!D29, FIND("/",'01_Raw'!D29) - 1)</f>
        <v>5</v>
      </c>
      <c r="Q28" t="str">
        <f>IFERROR(RIGHT('01_Raw'!D29,4),"Invalid")</f>
        <v>2025</v>
      </c>
      <c r="R28" t="str">
        <f>MID('01_Raw'!D29,FIND("/",'01_Raw'!D29) + 1,FIND("/",'01_Raw'!D29,FIND("/",'01_Raw'!D29)+1)-FIND("/",'01_Raw'!D29)-1)</f>
        <v>12</v>
      </c>
      <c r="S28" s="1">
        <f t="shared" si="0"/>
        <v>45789</v>
      </c>
      <c r="U28">
        <f>IFERROR(VALUE(SUBSTITUTE(SUBSTITUTE('01_Raw'!H29,"$",""), ".",",")),"Invalid")</f>
        <v>336.02</v>
      </c>
      <c r="V28">
        <f>IFERROR(VALUE('01_Raw'!G29), "Invalid")</f>
        <v>5</v>
      </c>
      <c r="X28">
        <f>IF(ISBLANK('01_Raw'!H29),"Missing", IFERROR(VALUE(SUBSTITUTE(SUBSTITUTE('01_Raw'!H29,"$",""), ".",",")),"Invalid"))</f>
        <v>336.02</v>
      </c>
      <c r="Y28">
        <f>IF(LEN(TRIM('01_Raw'!H29)) = 0, "Missing",IFERROR(VALUE(SUBSTITUTE(SUBSTITUTE('01_Raw'!H29,"$",""), ".",",")),"Invalid"))</f>
        <v>336.02</v>
      </c>
      <c r="AA28">
        <f>IF(LEN(TRIM('01_Raw'!G29)) = 0, "Missing",IFERROR(VALUE(SUBSTITUTE(SUBSTITUTE('01_Raw'!G29,"$",""), ".",",")),"Invalid"))</f>
        <v>5</v>
      </c>
      <c r="AC28">
        <f>COUNTIF($A$2:$A$103,A29)</f>
        <v>1</v>
      </c>
      <c r="AE28">
        <f>COUNTIF(messy_ecommerce_sales_data__2[Order_ID],'01_Raw'!C29)</f>
        <v>1</v>
      </c>
      <c r="AG28">
        <f t="shared" si="1"/>
        <v>1680.1</v>
      </c>
      <c r="AH28" t="str">
        <f>IF(AG28='01_Raw'!K29,"OK","Mismatch")</f>
        <v>Mismatch</v>
      </c>
      <c r="AJ28">
        <f t="shared" si="2"/>
        <v>1680.1</v>
      </c>
      <c r="AK28" t="str">
        <f t="shared" si="3"/>
        <v>OK</v>
      </c>
    </row>
    <row r="29" spans="1:37" x14ac:dyDescent="0.3">
      <c r="A29">
        <f>'01_Raw'!A29</f>
        <v>127</v>
      </c>
      <c r="B29" t="str">
        <f>TRIM('01_Raw'!B29)</f>
        <v>Customer_127</v>
      </c>
      <c r="D29" s="1">
        <f t="shared" si="4"/>
        <v>45789</v>
      </c>
      <c r="E29" t="str">
        <f>TRIM('01_Raw'!E29)</f>
        <v>Blender</v>
      </c>
      <c r="F29" t="str">
        <f>IF(PROPER(TRIM('01_Raw'!F29))="Electronic","Electronics",PROPER(TRIM('01_Raw'!F29)))</f>
        <v>Home</v>
      </c>
      <c r="I29" t="str">
        <f>TRIM('01_Raw'!I29)</f>
        <v>Bank Transfer</v>
      </c>
      <c r="J29" t="str">
        <f>TRIM('01_Raw'!J29)</f>
        <v>Returned</v>
      </c>
      <c r="N29" t="b">
        <f>ISNUMBER('01_Raw'!D30)</f>
        <v>0</v>
      </c>
      <c r="P29" t="str">
        <f>LEFT('01_Raw'!D30, FIND("/",'01_Raw'!D30) - 1)</f>
        <v>11</v>
      </c>
      <c r="Q29" t="str">
        <f>IFERROR(RIGHT('01_Raw'!D30,4),"Invalid")</f>
        <v>2024</v>
      </c>
      <c r="R29" t="str">
        <f>MID('01_Raw'!D30,FIND("/",'01_Raw'!D30) + 1,FIND("/",'01_Raw'!D30,FIND("/",'01_Raw'!D30)+1)-FIND("/",'01_Raw'!D30)-1)</f>
        <v>10</v>
      </c>
      <c r="S29" s="1">
        <f t="shared" si="0"/>
        <v>45606</v>
      </c>
      <c r="U29">
        <f>IFERROR(VALUE(SUBSTITUTE(SUBSTITUTE('01_Raw'!H30,"$",""), ".",",")),"Invalid")</f>
        <v>898.69</v>
      </c>
      <c r="V29">
        <f>IFERROR(VALUE('01_Raw'!G30), "Invalid")</f>
        <v>3</v>
      </c>
      <c r="X29">
        <f>IF(ISBLANK('01_Raw'!H30),"Missing", IFERROR(VALUE(SUBSTITUTE(SUBSTITUTE('01_Raw'!H30,"$",""), ".",",")),"Invalid"))</f>
        <v>898.69</v>
      </c>
      <c r="Y29">
        <f>IF(LEN(TRIM('01_Raw'!H30)) = 0, "Missing",IFERROR(VALUE(SUBSTITUTE(SUBSTITUTE('01_Raw'!H30,"$",""), ".",",")),"Invalid"))</f>
        <v>898.69</v>
      </c>
      <c r="AA29">
        <f>IF(LEN(TRIM('01_Raw'!G30)) = 0, "Missing",IFERROR(VALUE(SUBSTITUTE(SUBSTITUTE('01_Raw'!G30,"$",""), ".",",")),"Invalid"))</f>
        <v>3</v>
      </c>
      <c r="AC29">
        <f>COUNTIF($A$2:$A$103,A30)</f>
        <v>1</v>
      </c>
      <c r="AE29">
        <f>COUNTIF(messy_ecommerce_sales_data__2[Order_ID],'01_Raw'!C30)</f>
        <v>1</v>
      </c>
      <c r="AG29">
        <f t="shared" si="1"/>
        <v>2696.07</v>
      </c>
      <c r="AH29" t="str">
        <f>IF(AG29='01_Raw'!K30,"OK","Mismatch")</f>
        <v>Mismatch</v>
      </c>
      <c r="AJ29">
        <f t="shared" si="2"/>
        <v>2696.07</v>
      </c>
      <c r="AK29" t="str">
        <f t="shared" si="3"/>
        <v>OK</v>
      </c>
    </row>
    <row r="30" spans="1:37" x14ac:dyDescent="0.3">
      <c r="A30">
        <f>'01_Raw'!A30</f>
        <v>128</v>
      </c>
      <c r="B30" t="str">
        <f>TRIM('01_Raw'!B30)</f>
        <v>Customer_128</v>
      </c>
      <c r="D30" s="1">
        <f t="shared" si="4"/>
        <v>45606</v>
      </c>
      <c r="E30" t="str">
        <f>TRIM('01_Raw'!E30)</f>
        <v>Lamp</v>
      </c>
      <c r="F30" t="str">
        <f>IF(PROPER(TRIM('01_Raw'!F30))="Electronic","Electronics",PROPER(TRIM('01_Raw'!F30)))</f>
        <v>Electronics</v>
      </c>
      <c r="I30" t="str">
        <f>TRIM('01_Raw'!I30)</f>
        <v>Bank Transfer</v>
      </c>
      <c r="J30" t="str">
        <f>TRIM('01_Raw'!J30)</f>
        <v>Delivered</v>
      </c>
      <c r="N30" t="b">
        <f>ISNUMBER('01_Raw'!D31)</f>
        <v>0</v>
      </c>
      <c r="P30" t="str">
        <f>LEFT('01_Raw'!D31, FIND("/",'01_Raw'!D31) - 1)</f>
        <v>6</v>
      </c>
      <c r="Q30" t="str">
        <f>IFERROR(RIGHT('01_Raw'!D31,4),"Invalid")</f>
        <v>2025</v>
      </c>
      <c r="R30" t="str">
        <f>MID('01_Raw'!D31,FIND("/",'01_Raw'!D31) + 1,FIND("/",'01_Raw'!D31,FIND("/",'01_Raw'!D31)+1)-FIND("/",'01_Raw'!D31)-1)</f>
        <v>22</v>
      </c>
      <c r="S30" s="1">
        <f t="shared" si="0"/>
        <v>45830</v>
      </c>
      <c r="U30">
        <f>IFERROR(VALUE(SUBSTITUTE(SUBSTITUTE('01_Raw'!H31,"$",""), ".",",")),"Invalid")</f>
        <v>736.71</v>
      </c>
      <c r="V30">
        <f>IFERROR(VALUE('01_Raw'!G31), "Invalid")</f>
        <v>4</v>
      </c>
      <c r="X30">
        <f>IF(ISBLANK('01_Raw'!H31),"Missing", IFERROR(VALUE(SUBSTITUTE(SUBSTITUTE('01_Raw'!H31,"$",""), ".",",")),"Invalid"))</f>
        <v>736.71</v>
      </c>
      <c r="Y30">
        <f>IF(LEN(TRIM('01_Raw'!H31)) = 0, "Missing",IFERROR(VALUE(SUBSTITUTE(SUBSTITUTE('01_Raw'!H31,"$",""), ".",",")),"Invalid"))</f>
        <v>736.71</v>
      </c>
      <c r="AA30">
        <f>IF(LEN(TRIM('01_Raw'!G31)) = 0, "Missing",IFERROR(VALUE(SUBSTITUTE(SUBSTITUTE('01_Raw'!G31,"$",""), ".",",")),"Invalid"))</f>
        <v>4</v>
      </c>
      <c r="AC30">
        <f>COUNTIF($A$2:$A$103,A31)</f>
        <v>1</v>
      </c>
      <c r="AE30">
        <f>COUNTIF(messy_ecommerce_sales_data__2[Order_ID],'01_Raw'!C31)</f>
        <v>1</v>
      </c>
      <c r="AG30">
        <f t="shared" si="1"/>
        <v>2946.84</v>
      </c>
      <c r="AH30" t="str">
        <f>IF(AG30='01_Raw'!K31,"OK","Mismatch")</f>
        <v>Mismatch</v>
      </c>
      <c r="AJ30">
        <f t="shared" si="2"/>
        <v>2946.84</v>
      </c>
      <c r="AK30" t="str">
        <f t="shared" si="3"/>
        <v>OK</v>
      </c>
    </row>
    <row r="31" spans="1:37" x14ac:dyDescent="0.3">
      <c r="A31">
        <f>'01_Raw'!A31</f>
        <v>129</v>
      </c>
      <c r="B31" t="str">
        <f>TRIM('01_Raw'!B31)</f>
        <v>Customer_129</v>
      </c>
      <c r="D31" s="1">
        <f t="shared" si="4"/>
        <v>45830</v>
      </c>
      <c r="E31" t="str">
        <f>TRIM('01_Raw'!E31)</f>
        <v>Science</v>
      </c>
      <c r="F31" t="str">
        <f>IF(PROPER(TRIM('01_Raw'!F31))="Electronic","Electronics",PROPER(TRIM('01_Raw'!F31)))</f>
        <v>Books</v>
      </c>
      <c r="I31" t="str">
        <f>TRIM('01_Raw'!I31)</f>
        <v>Bank Transfer</v>
      </c>
      <c r="J31" t="str">
        <f>TRIM('01_Raw'!J31)</f>
        <v>Returned</v>
      </c>
      <c r="N31" t="b">
        <f>ISNUMBER('01_Raw'!D32)</f>
        <v>0</v>
      </c>
      <c r="P31" t="str">
        <f>LEFT('01_Raw'!D32, FIND("/",'01_Raw'!D32) - 1)</f>
        <v>8</v>
      </c>
      <c r="Q31" t="str">
        <f>IFERROR(RIGHT('01_Raw'!D32,4),"Invalid")</f>
        <v>2025</v>
      </c>
      <c r="R31" t="str">
        <f>MID('01_Raw'!D32,FIND("/",'01_Raw'!D32) + 1,FIND("/",'01_Raw'!D32,FIND("/",'01_Raw'!D32)+1)-FIND("/",'01_Raw'!D32)-1)</f>
        <v>15</v>
      </c>
      <c r="S31" s="1">
        <f t="shared" si="0"/>
        <v>45884</v>
      </c>
      <c r="U31" t="str">
        <f>IFERROR(VALUE(SUBSTITUTE(SUBSTITUTE('01_Raw'!H32,"$",""), ".",",")),"Invalid")</f>
        <v>Invalid</v>
      </c>
      <c r="V31">
        <f>IFERROR(VALUE('01_Raw'!G32), "Invalid")</f>
        <v>2</v>
      </c>
      <c r="X31" t="str">
        <f>IF(ISBLANK('01_Raw'!H32),"Missing", IFERROR(VALUE(SUBSTITUTE(SUBSTITUTE('01_Raw'!H32,"$",""), ".",",")),"Invalid"))</f>
        <v>Invalid</v>
      </c>
      <c r="Y31" t="str">
        <f>IF(LEN(TRIM('01_Raw'!H32)) = 0, "Missing",IFERROR(VALUE(SUBSTITUTE(SUBSTITUTE('01_Raw'!H32,"$",""), ".",",")),"Invalid"))</f>
        <v>Missing</v>
      </c>
      <c r="AA31">
        <f>IF(LEN(TRIM('01_Raw'!G32)) = 0, "Missing",IFERROR(VALUE(SUBSTITUTE(SUBSTITUTE('01_Raw'!G32,"$",""), ".",",")),"Invalid"))</f>
        <v>2</v>
      </c>
      <c r="AC31">
        <f>COUNTIF($A$2:$A$103,A32)</f>
        <v>1</v>
      </c>
      <c r="AE31">
        <f>COUNTIF(messy_ecommerce_sales_data__2[Order_ID],'01_Raw'!C32)</f>
        <v>1</v>
      </c>
      <c r="AG31" t="str">
        <f t="shared" si="1"/>
        <v>Cannot Calculate</v>
      </c>
      <c r="AH31" t="str">
        <f>IF(AG31='01_Raw'!K32,"OK","Mismatch")</f>
        <v>Mismatch</v>
      </c>
      <c r="AJ31" t="str">
        <f t="shared" si="2"/>
        <v>Invalid</v>
      </c>
      <c r="AK31" t="str">
        <f t="shared" si="3"/>
        <v>Mismatch</v>
      </c>
    </row>
    <row r="32" spans="1:37" x14ac:dyDescent="0.3">
      <c r="A32">
        <f>'01_Raw'!A32</f>
        <v>130</v>
      </c>
      <c r="B32" t="str">
        <f>TRIM('01_Raw'!B32)</f>
        <v>Customer_130</v>
      </c>
      <c r="D32" s="1">
        <f t="shared" si="4"/>
        <v>45884</v>
      </c>
      <c r="E32" t="str">
        <f>TRIM('01_Raw'!E32)</f>
        <v>Tennis Racket</v>
      </c>
      <c r="F32" t="str">
        <f>IF(PROPER(TRIM('01_Raw'!F32))="Electronic","Electronics",PROPER(TRIM('01_Raw'!F32)))</f>
        <v>Sports</v>
      </c>
      <c r="I32" t="str">
        <f>TRIM('01_Raw'!I32)</f>
        <v>Bank Transfer</v>
      </c>
      <c r="J32" t="str">
        <f>TRIM('01_Raw'!J32)</f>
        <v>Processing</v>
      </c>
      <c r="N32" t="b">
        <f>ISNUMBER('01_Raw'!D33)</f>
        <v>0</v>
      </c>
      <c r="P32" t="str">
        <f>LEFT('01_Raw'!D33, FIND("/",'01_Raw'!D33) - 1)</f>
        <v>6</v>
      </c>
      <c r="Q32" t="str">
        <f>IFERROR(RIGHT('01_Raw'!D33,4),"Invalid")</f>
        <v>2025</v>
      </c>
      <c r="R32" t="str">
        <f>MID('01_Raw'!D33,FIND("/",'01_Raw'!D33) + 1,FIND("/",'01_Raw'!D33,FIND("/",'01_Raw'!D33)+1)-FIND("/",'01_Raw'!D33)-1)</f>
        <v>11</v>
      </c>
      <c r="S32" s="1">
        <f t="shared" si="0"/>
        <v>45819</v>
      </c>
      <c r="U32">
        <f>IFERROR(VALUE(SUBSTITUTE(SUBSTITUTE('01_Raw'!H33,"$",""), ".",",")),"Invalid")</f>
        <v>616.63</v>
      </c>
      <c r="V32">
        <f>IFERROR(VALUE('01_Raw'!G33), "Invalid")</f>
        <v>5</v>
      </c>
      <c r="X32">
        <f>IF(ISBLANK('01_Raw'!H33),"Missing", IFERROR(VALUE(SUBSTITUTE(SUBSTITUTE('01_Raw'!H33,"$",""), ".",",")),"Invalid"))</f>
        <v>616.63</v>
      </c>
      <c r="Y32">
        <f>IF(LEN(TRIM('01_Raw'!H33)) = 0, "Missing",IFERROR(VALUE(SUBSTITUTE(SUBSTITUTE('01_Raw'!H33,"$",""), ".",",")),"Invalid"))</f>
        <v>616.63</v>
      </c>
      <c r="AA32">
        <f>IF(LEN(TRIM('01_Raw'!G33)) = 0, "Missing",IFERROR(VALUE(SUBSTITUTE(SUBSTITUTE('01_Raw'!G33,"$",""), ".",",")),"Invalid"))</f>
        <v>5</v>
      </c>
      <c r="AC32">
        <f>COUNTIF($A$2:$A$103,A33)</f>
        <v>1</v>
      </c>
      <c r="AE32">
        <f>COUNTIF(messy_ecommerce_sales_data__2[Order_ID],'01_Raw'!C33)</f>
        <v>1</v>
      </c>
      <c r="AG32">
        <f t="shared" si="1"/>
        <v>3083.15</v>
      </c>
      <c r="AH32" t="str">
        <f>IF(AG32='01_Raw'!K33,"OK","Mismatch")</f>
        <v>Mismatch</v>
      </c>
      <c r="AJ32">
        <f t="shared" si="2"/>
        <v>3083.15</v>
      </c>
      <c r="AK32" t="str">
        <f t="shared" si="3"/>
        <v>OK</v>
      </c>
    </row>
    <row r="33" spans="1:37" x14ac:dyDescent="0.3">
      <c r="A33">
        <f>'01_Raw'!A33</f>
        <v>131</v>
      </c>
      <c r="B33" t="str">
        <f>TRIM('01_Raw'!B33)</f>
        <v>Customer_131</v>
      </c>
      <c r="D33" s="1">
        <f t="shared" si="4"/>
        <v>45819</v>
      </c>
      <c r="E33" t="str">
        <f>TRIM('01_Raw'!E33)</f>
        <v>Lamp</v>
      </c>
      <c r="F33" t="str">
        <f>IF(PROPER(TRIM('01_Raw'!F33))="Electronic","Electronics",PROPER(TRIM('01_Raw'!F33)))</f>
        <v>Home</v>
      </c>
      <c r="I33" t="str">
        <f>TRIM('01_Raw'!I33)</f>
        <v>PayPal</v>
      </c>
      <c r="J33" t="str">
        <f>TRIM('01_Raw'!J33)</f>
        <v>Shipped</v>
      </c>
      <c r="N33" t="b">
        <f>ISNUMBER('01_Raw'!D34)</f>
        <v>0</v>
      </c>
      <c r="P33" t="str">
        <f>LEFT('01_Raw'!D34, FIND("/",'01_Raw'!D34) - 1)</f>
        <v>4</v>
      </c>
      <c r="Q33" t="str">
        <f>IFERROR(RIGHT('01_Raw'!D34,4),"Invalid")</f>
        <v>2025</v>
      </c>
      <c r="R33" t="str">
        <f>MID('01_Raw'!D34,FIND("/",'01_Raw'!D34) + 1,FIND("/",'01_Raw'!D34,FIND("/",'01_Raw'!D34)+1)-FIND("/",'01_Raw'!D34)-1)</f>
        <v>2</v>
      </c>
      <c r="S33" s="1">
        <f t="shared" si="0"/>
        <v>45749</v>
      </c>
      <c r="U33">
        <f>IFERROR(VALUE(SUBSTITUTE(SUBSTITUTE('01_Raw'!H34,"$",""), ".",",")),"Invalid")</f>
        <v>266.7</v>
      </c>
      <c r="V33">
        <f>IFERROR(VALUE('01_Raw'!G34), "Invalid")</f>
        <v>1</v>
      </c>
      <c r="X33">
        <f>IF(ISBLANK('01_Raw'!H34),"Missing", IFERROR(VALUE(SUBSTITUTE(SUBSTITUTE('01_Raw'!H34,"$",""), ".",",")),"Invalid"))</f>
        <v>266.7</v>
      </c>
      <c r="Y33">
        <f>IF(LEN(TRIM('01_Raw'!H34)) = 0, "Missing",IFERROR(VALUE(SUBSTITUTE(SUBSTITUTE('01_Raw'!H34,"$",""), ".",",")),"Invalid"))</f>
        <v>266.7</v>
      </c>
      <c r="AA33">
        <f>IF(LEN(TRIM('01_Raw'!G34)) = 0, "Missing",IFERROR(VALUE(SUBSTITUTE(SUBSTITUTE('01_Raw'!G34,"$",""), ".",",")),"Invalid"))</f>
        <v>1</v>
      </c>
      <c r="AC33">
        <f>COUNTIF($A$2:$A$103,A34)</f>
        <v>1</v>
      </c>
      <c r="AE33">
        <f>COUNTIF(messy_ecommerce_sales_data__2[Order_ID],'01_Raw'!C34)</f>
        <v>1</v>
      </c>
      <c r="AG33">
        <f t="shared" si="1"/>
        <v>266.7</v>
      </c>
      <c r="AH33" t="str">
        <f>IF(AG33='01_Raw'!K34,"OK","Mismatch")</f>
        <v>Mismatch</v>
      </c>
      <c r="AJ33">
        <f t="shared" si="2"/>
        <v>266.7</v>
      </c>
      <c r="AK33" t="str">
        <f t="shared" si="3"/>
        <v>OK</v>
      </c>
    </row>
    <row r="34" spans="1:37" x14ac:dyDescent="0.3">
      <c r="A34">
        <f>'01_Raw'!A34</f>
        <v>132</v>
      </c>
      <c r="B34" t="str">
        <f>TRIM('01_Raw'!B34)</f>
        <v>Customer_132</v>
      </c>
      <c r="D34" s="1">
        <f t="shared" si="4"/>
        <v>45749</v>
      </c>
      <c r="E34" t="str">
        <f>TRIM('01_Raw'!E34)</f>
        <v>Yoga Mat</v>
      </c>
      <c r="F34" t="str">
        <f>IF(PROPER(TRIM('01_Raw'!F34))="Electronic","Electronics",PROPER(TRIM('01_Raw'!F34)))</f>
        <v>Electronics</v>
      </c>
      <c r="I34" t="str">
        <f>TRIM('01_Raw'!I34)</f>
        <v>PayPal</v>
      </c>
      <c r="J34" t="str">
        <f>TRIM('01_Raw'!J34)</f>
        <v>Delivered</v>
      </c>
      <c r="N34" t="b">
        <f>ISNUMBER('01_Raw'!D35)</f>
        <v>0</v>
      </c>
      <c r="P34" t="str">
        <f>LEFT('01_Raw'!D35, FIND("/",'01_Raw'!D35) - 1)</f>
        <v>12</v>
      </c>
      <c r="Q34" t="str">
        <f>IFERROR(RIGHT('01_Raw'!D35,4),"Invalid")</f>
        <v>2024</v>
      </c>
      <c r="R34" t="str">
        <f>MID('01_Raw'!D35,FIND("/",'01_Raw'!D35) + 1,FIND("/",'01_Raw'!D35,FIND("/",'01_Raw'!D35)+1)-FIND("/",'01_Raw'!D35)-1)</f>
        <v>5</v>
      </c>
      <c r="S34" s="1">
        <f t="shared" si="0"/>
        <v>45631</v>
      </c>
      <c r="U34">
        <f>IFERROR(VALUE(SUBSTITUTE(SUBSTITUTE('01_Raw'!H35,"$",""), ".",",")),"Invalid")</f>
        <v>343.24</v>
      </c>
      <c r="V34">
        <f>IFERROR(VALUE('01_Raw'!G35), "Invalid")</f>
        <v>5</v>
      </c>
      <c r="X34">
        <f>IF(ISBLANK('01_Raw'!H35),"Missing", IFERROR(VALUE(SUBSTITUTE(SUBSTITUTE('01_Raw'!H35,"$",""), ".",",")),"Invalid"))</f>
        <v>343.24</v>
      </c>
      <c r="Y34">
        <f>IF(LEN(TRIM('01_Raw'!H35)) = 0, "Missing",IFERROR(VALUE(SUBSTITUTE(SUBSTITUTE('01_Raw'!H35,"$",""), ".",",")),"Invalid"))</f>
        <v>343.24</v>
      </c>
      <c r="AA34">
        <f>IF(LEN(TRIM('01_Raw'!G35)) = 0, "Missing",IFERROR(VALUE(SUBSTITUTE(SUBSTITUTE('01_Raw'!G35,"$",""), ".",",")),"Invalid"))</f>
        <v>5</v>
      </c>
      <c r="AC34">
        <f>COUNTIF($A$2:$A$103,A35)</f>
        <v>1</v>
      </c>
      <c r="AE34">
        <f>COUNTIF(messy_ecommerce_sales_data__2[Order_ID],'01_Raw'!C35)</f>
        <v>1</v>
      </c>
      <c r="AG34">
        <f t="shared" si="1"/>
        <v>1716.2</v>
      </c>
      <c r="AH34" t="str">
        <f>IF(AG34='01_Raw'!K35,"OK","Mismatch")</f>
        <v>Mismatch</v>
      </c>
      <c r="AJ34">
        <f t="shared" si="2"/>
        <v>1716.2</v>
      </c>
      <c r="AK34" t="str">
        <f t="shared" si="3"/>
        <v>OK</v>
      </c>
    </row>
    <row r="35" spans="1:37" x14ac:dyDescent="0.3">
      <c r="A35">
        <f>'01_Raw'!A35</f>
        <v>133</v>
      </c>
      <c r="B35" t="str">
        <f>TRIM('01_Raw'!B35)</f>
        <v>Customer_133</v>
      </c>
      <c r="D35" s="1">
        <f t="shared" si="4"/>
        <v>45631</v>
      </c>
      <c r="E35" t="str">
        <f>TRIM('01_Raw'!E35)</f>
        <v>Biography</v>
      </c>
      <c r="F35" t="str">
        <f>IF(PROPER(TRIM('01_Raw'!F35))="Electronic","Electronics",PROPER(TRIM('01_Raw'!F35)))</f>
        <v>Nan</v>
      </c>
      <c r="I35" t="str">
        <f>TRIM('01_Raw'!I35)</f>
        <v>Credit Card</v>
      </c>
      <c r="J35" t="str">
        <f>TRIM('01_Raw'!J35)</f>
        <v>Shipped</v>
      </c>
      <c r="N35" t="b">
        <f>ISNUMBER('01_Raw'!D36)</f>
        <v>0</v>
      </c>
      <c r="P35" t="str">
        <f>LEFT('01_Raw'!D36, FIND("/",'01_Raw'!D36) - 1)</f>
        <v>10</v>
      </c>
      <c r="Q35" t="str">
        <f>IFERROR(RIGHT('01_Raw'!D36,4),"Invalid")</f>
        <v>2025</v>
      </c>
      <c r="R35" t="str">
        <f>MID('01_Raw'!D36,FIND("/",'01_Raw'!D36) + 1,FIND("/",'01_Raw'!D36,FIND("/",'01_Raw'!D36)+1)-FIND("/",'01_Raw'!D36)-1)</f>
        <v>4</v>
      </c>
      <c r="S35" s="1">
        <f t="shared" si="0"/>
        <v>45934</v>
      </c>
      <c r="U35">
        <f>IFERROR(VALUE(SUBSTITUTE(SUBSTITUTE('01_Raw'!H36,"$",""), ".",",")),"Invalid")</f>
        <v>591.53</v>
      </c>
      <c r="V35">
        <f>IFERROR(VALUE('01_Raw'!G36), "Invalid")</f>
        <v>-5</v>
      </c>
      <c r="X35">
        <f>IF(ISBLANK('01_Raw'!H36),"Missing", IFERROR(VALUE(SUBSTITUTE(SUBSTITUTE('01_Raw'!H36,"$",""), ".",",")),"Invalid"))</f>
        <v>591.53</v>
      </c>
      <c r="Y35">
        <f>IF(LEN(TRIM('01_Raw'!H36)) = 0, "Missing",IFERROR(VALUE(SUBSTITUTE(SUBSTITUTE('01_Raw'!H36,"$",""), ".",",")),"Invalid"))</f>
        <v>591.53</v>
      </c>
      <c r="AA35">
        <f>IF(LEN(TRIM('01_Raw'!G36)) = 0, "Missing",IFERROR(VALUE(SUBSTITUTE(SUBSTITUTE('01_Raw'!G36,"$",""), ".",",")),"Invalid"))</f>
        <v>-5</v>
      </c>
      <c r="AC35">
        <f>COUNTIF($A$2:$A$103,A36)</f>
        <v>1</v>
      </c>
      <c r="AE35">
        <f>COUNTIF(messy_ecommerce_sales_data__2[Order_ID],'01_Raw'!C36)</f>
        <v>1</v>
      </c>
      <c r="AG35">
        <f t="shared" si="1"/>
        <v>-2957.6499999999996</v>
      </c>
      <c r="AH35" t="str">
        <f>IF(AG35='01_Raw'!K36,"OK","Mismatch")</f>
        <v>Mismatch</v>
      </c>
      <c r="AJ35">
        <f t="shared" si="2"/>
        <v>-2957.65</v>
      </c>
      <c r="AK35" t="str">
        <f t="shared" si="3"/>
        <v>OK</v>
      </c>
    </row>
    <row r="36" spans="1:37" x14ac:dyDescent="0.3">
      <c r="A36">
        <f>'01_Raw'!A36</f>
        <v>134</v>
      </c>
      <c r="B36" t="str">
        <f>TRIM('01_Raw'!B36)</f>
        <v>Customer_134</v>
      </c>
      <c r="D36" s="1">
        <f t="shared" si="4"/>
        <v>45934</v>
      </c>
      <c r="E36" t="str">
        <f>TRIM('01_Raw'!E36)</f>
        <v>T-shirt</v>
      </c>
      <c r="F36" t="str">
        <f>IF(PROPER(TRIM('01_Raw'!F36))="Electronic","Electronics",PROPER(TRIM('01_Raw'!F36)))</f>
        <v>Clothing</v>
      </c>
      <c r="I36" t="str">
        <f>TRIM('01_Raw'!I36)</f>
        <v>PayPal</v>
      </c>
      <c r="J36" t="str">
        <f>TRIM('01_Raw'!J36)</f>
        <v>Shipped</v>
      </c>
      <c r="N36" t="b">
        <f>ISNUMBER('01_Raw'!D37)</f>
        <v>0</v>
      </c>
      <c r="P36" t="str">
        <f>LEFT('01_Raw'!D37, FIND("/",'01_Raw'!D37) - 1)</f>
        <v>2</v>
      </c>
      <c r="Q36" t="str">
        <f>IFERROR(RIGHT('01_Raw'!D37,4),"Invalid")</f>
        <v>2025</v>
      </c>
      <c r="R36" t="str">
        <f>MID('01_Raw'!D37,FIND("/",'01_Raw'!D37) + 1,FIND("/",'01_Raw'!D37,FIND("/",'01_Raw'!D37)+1)-FIND("/",'01_Raw'!D37)-1)</f>
        <v>9</v>
      </c>
      <c r="S36" s="1">
        <f t="shared" si="0"/>
        <v>45697</v>
      </c>
      <c r="U36">
        <f>IFERROR(VALUE(SUBSTITUTE(SUBSTITUTE('01_Raw'!H37,"$",""), ".",",")),"Invalid")</f>
        <v>446.19</v>
      </c>
      <c r="V36">
        <f>IFERROR(VALUE('01_Raw'!G37), "Invalid")</f>
        <v>4</v>
      </c>
      <c r="X36">
        <f>IF(ISBLANK('01_Raw'!H37),"Missing", IFERROR(VALUE(SUBSTITUTE(SUBSTITUTE('01_Raw'!H37,"$",""), ".",",")),"Invalid"))</f>
        <v>446.19</v>
      </c>
      <c r="Y36">
        <f>IF(LEN(TRIM('01_Raw'!H37)) = 0, "Missing",IFERROR(VALUE(SUBSTITUTE(SUBSTITUTE('01_Raw'!H37,"$",""), ".",",")),"Invalid"))</f>
        <v>446.19</v>
      </c>
      <c r="AA36">
        <f>IF(LEN(TRIM('01_Raw'!G37)) = 0, "Missing",IFERROR(VALUE(SUBSTITUTE(SUBSTITUTE('01_Raw'!G37,"$",""), ".",",")),"Invalid"))</f>
        <v>4</v>
      </c>
      <c r="AC36">
        <f>COUNTIF($A$2:$A$103,A37)</f>
        <v>1</v>
      </c>
      <c r="AE36">
        <f>COUNTIF(messy_ecommerce_sales_data__2[Order_ID],'01_Raw'!C37)</f>
        <v>1</v>
      </c>
      <c r="AG36">
        <f t="shared" si="1"/>
        <v>1784.76</v>
      </c>
      <c r="AH36" t="str">
        <f>IF(AG36='01_Raw'!K37,"OK","Mismatch")</f>
        <v>Mismatch</v>
      </c>
      <c r="AJ36">
        <f t="shared" si="2"/>
        <v>1784.76</v>
      </c>
      <c r="AK36" t="str">
        <f t="shared" si="3"/>
        <v>OK</v>
      </c>
    </row>
    <row r="37" spans="1:37" x14ac:dyDescent="0.3">
      <c r="A37">
        <f>'01_Raw'!A37</f>
        <v>135</v>
      </c>
      <c r="B37" t="str">
        <f>TRIM('01_Raw'!B37)</f>
        <v>Customer_135</v>
      </c>
      <c r="D37" s="1">
        <f t="shared" si="4"/>
        <v>45697</v>
      </c>
      <c r="E37" t="str">
        <f>TRIM('01_Raw'!E37)</f>
        <v>Smartwatch</v>
      </c>
      <c r="F37" t="str">
        <f>IF(PROPER(TRIM('01_Raw'!F37))="Electronic","Electronics",PROPER(TRIM('01_Raw'!F37)))</f>
        <v>Electronics</v>
      </c>
      <c r="I37" t="str">
        <f>TRIM('01_Raw'!I37)</f>
        <v>Cash on Delivery</v>
      </c>
      <c r="J37" t="str">
        <f>TRIM('01_Raw'!J37)</f>
        <v>Cancelled</v>
      </c>
      <c r="N37" t="b">
        <f>ISNUMBER('01_Raw'!D38)</f>
        <v>0</v>
      </c>
      <c r="P37" t="str">
        <f>LEFT('01_Raw'!D38, FIND("/",'01_Raw'!D38) - 1)</f>
        <v>6</v>
      </c>
      <c r="Q37" t="str">
        <f>IFERROR(RIGHT('01_Raw'!D38,4),"Invalid")</f>
        <v>2025</v>
      </c>
      <c r="R37" t="str">
        <f>MID('01_Raw'!D38,FIND("/",'01_Raw'!D38) + 1,FIND("/",'01_Raw'!D38,FIND("/",'01_Raw'!D38)+1)-FIND("/",'01_Raw'!D38)-1)</f>
        <v>12</v>
      </c>
      <c r="S37" s="1">
        <f t="shared" si="0"/>
        <v>45820</v>
      </c>
      <c r="U37">
        <f>IFERROR(VALUE(SUBSTITUTE(SUBSTITUTE('01_Raw'!H38,"$",""), ".",",")),"Invalid")</f>
        <v>696.71</v>
      </c>
      <c r="V37">
        <f>IFERROR(VALUE('01_Raw'!G38), "Invalid")</f>
        <v>1</v>
      </c>
      <c r="X37">
        <f>IF(ISBLANK('01_Raw'!H38),"Missing", IFERROR(VALUE(SUBSTITUTE(SUBSTITUTE('01_Raw'!H38,"$",""), ".",",")),"Invalid"))</f>
        <v>696.71</v>
      </c>
      <c r="Y37">
        <f>IF(LEN(TRIM('01_Raw'!H38)) = 0, "Missing",IFERROR(VALUE(SUBSTITUTE(SUBSTITUTE('01_Raw'!H38,"$",""), ".",",")),"Invalid"))</f>
        <v>696.71</v>
      </c>
      <c r="AA37">
        <f>IF(LEN(TRIM('01_Raw'!G38)) = 0, "Missing",IFERROR(VALUE(SUBSTITUTE(SUBSTITUTE('01_Raw'!G38,"$",""), ".",",")),"Invalid"))</f>
        <v>1</v>
      </c>
      <c r="AC37">
        <f>COUNTIF($A$2:$A$103,A38)</f>
        <v>1</v>
      </c>
      <c r="AE37">
        <f>COUNTIF(messy_ecommerce_sales_data__2[Order_ID],'01_Raw'!C38)</f>
        <v>1</v>
      </c>
      <c r="AG37">
        <f t="shared" si="1"/>
        <v>696.71</v>
      </c>
      <c r="AH37" t="str">
        <f>IF(AG37='01_Raw'!K38,"OK","Mismatch")</f>
        <v>Mismatch</v>
      </c>
      <c r="AJ37">
        <f t="shared" si="2"/>
        <v>696.71</v>
      </c>
      <c r="AK37" t="str">
        <f t="shared" si="3"/>
        <v>OK</v>
      </c>
    </row>
    <row r="38" spans="1:37" x14ac:dyDescent="0.3">
      <c r="A38">
        <f>'01_Raw'!A38</f>
        <v>136</v>
      </c>
      <c r="B38" t="str">
        <f>TRIM('01_Raw'!B38)</f>
        <v>Customer_136</v>
      </c>
      <c r="D38" s="1">
        <f t="shared" si="4"/>
        <v>45820</v>
      </c>
      <c r="E38" t="str">
        <f>TRIM('01_Raw'!E38)</f>
        <v>Headphones</v>
      </c>
      <c r="F38" t="str">
        <f>IF(PROPER(TRIM('01_Raw'!F38))="Electronic","Electronics",PROPER(TRIM('01_Raw'!F38)))</f>
        <v/>
      </c>
      <c r="I38" t="str">
        <f>TRIM('01_Raw'!I38)</f>
        <v>Credit Card</v>
      </c>
      <c r="J38" t="str">
        <f>TRIM('01_Raw'!J38)</f>
        <v>Delivered</v>
      </c>
      <c r="N38" t="b">
        <f>ISNUMBER('01_Raw'!D39)</f>
        <v>0</v>
      </c>
      <c r="P38" t="str">
        <f>LEFT('01_Raw'!D39, FIND("/",'01_Raw'!D39) - 1)</f>
        <v>2</v>
      </c>
      <c r="Q38" t="str">
        <f>IFERROR(RIGHT('01_Raw'!D39,4),"Invalid")</f>
        <v>2025</v>
      </c>
      <c r="R38" t="str">
        <f>MID('01_Raw'!D39,FIND("/",'01_Raw'!D39) + 1,FIND("/",'01_Raw'!D39,FIND("/",'01_Raw'!D39)+1)-FIND("/",'01_Raw'!D39)-1)</f>
        <v>23</v>
      </c>
      <c r="S38" s="1">
        <f t="shared" si="0"/>
        <v>45711</v>
      </c>
      <c r="U38">
        <f>IFERROR(VALUE(SUBSTITUTE(SUBSTITUTE('01_Raw'!H39,"$",""), ".",",")),"Invalid")</f>
        <v>-100</v>
      </c>
      <c r="V38">
        <f>IFERROR(VALUE('01_Raw'!G39), "Invalid")</f>
        <v>3</v>
      </c>
      <c r="X38">
        <f>IF(ISBLANK('01_Raw'!H39),"Missing", IFERROR(VALUE(SUBSTITUTE(SUBSTITUTE('01_Raw'!H39,"$",""), ".",",")),"Invalid"))</f>
        <v>-100</v>
      </c>
      <c r="Y38">
        <f>IF(LEN(TRIM('01_Raw'!H39)) = 0, "Missing",IFERROR(VALUE(SUBSTITUTE(SUBSTITUTE('01_Raw'!H39,"$",""), ".",",")),"Invalid"))</f>
        <v>-100</v>
      </c>
      <c r="AA38">
        <f>IF(LEN(TRIM('01_Raw'!G39)) = 0, "Missing",IFERROR(VALUE(SUBSTITUTE(SUBSTITUTE('01_Raw'!G39,"$",""), ".",",")),"Invalid"))</f>
        <v>3</v>
      </c>
      <c r="AC38">
        <f>COUNTIF($A$2:$A$103,A39)</f>
        <v>1</v>
      </c>
      <c r="AE38">
        <f>COUNTIF(messy_ecommerce_sales_data__2[Order_ID],'01_Raw'!C39)</f>
        <v>1</v>
      </c>
      <c r="AG38">
        <f t="shared" si="1"/>
        <v>-300</v>
      </c>
      <c r="AH38" t="str">
        <f>IF(AG38='01_Raw'!K39,"OK","Mismatch")</f>
        <v>Mismatch</v>
      </c>
      <c r="AJ38">
        <f t="shared" si="2"/>
        <v>-300</v>
      </c>
      <c r="AK38" t="str">
        <f t="shared" si="3"/>
        <v>OK</v>
      </c>
    </row>
    <row r="39" spans="1:37" x14ac:dyDescent="0.3">
      <c r="A39">
        <f>'01_Raw'!A39</f>
        <v>137</v>
      </c>
      <c r="B39" t="str">
        <f>TRIM('01_Raw'!B39)</f>
        <v>Customer_137</v>
      </c>
      <c r="D39" s="1">
        <f t="shared" si="4"/>
        <v>45711</v>
      </c>
      <c r="E39" t="str">
        <f>TRIM('01_Raw'!E39)</f>
        <v>Vacuum</v>
      </c>
      <c r="F39" t="str">
        <f>IF(PROPER(TRIM('01_Raw'!F39))="Electronic","Electronics",PROPER(TRIM('01_Raw'!F39)))</f>
        <v>Home</v>
      </c>
      <c r="I39" t="str">
        <f>TRIM('01_Raw'!I39)</f>
        <v>Cash on Delivery</v>
      </c>
      <c r="J39" t="str">
        <f>TRIM('01_Raw'!J39)</f>
        <v>Delivered</v>
      </c>
      <c r="N39" t="b">
        <f>ISNUMBER('01_Raw'!D40)</f>
        <v>0</v>
      </c>
      <c r="P39" t="str">
        <f>LEFT('01_Raw'!D40, FIND("/",'01_Raw'!D40) - 1)</f>
        <v>8</v>
      </c>
      <c r="Q39" t="str">
        <f>IFERROR(RIGHT('01_Raw'!D40,4),"Invalid")</f>
        <v>2025</v>
      </c>
      <c r="R39" t="str">
        <f>MID('01_Raw'!D40,FIND("/",'01_Raw'!D40) + 1,FIND("/",'01_Raw'!D40,FIND("/",'01_Raw'!D40)+1)-FIND("/",'01_Raw'!D40)-1)</f>
        <v>9</v>
      </c>
      <c r="S39" s="1">
        <f t="shared" si="0"/>
        <v>45878</v>
      </c>
      <c r="U39">
        <f>IFERROR(VALUE(SUBSTITUTE(SUBSTITUTE('01_Raw'!H40,"$",""), ".",",")),"Invalid")</f>
        <v>531.05999999999995</v>
      </c>
      <c r="V39">
        <f>IFERROR(VALUE('01_Raw'!G40), "Invalid")</f>
        <v>1</v>
      </c>
      <c r="X39">
        <f>IF(ISBLANK('01_Raw'!H40),"Missing", IFERROR(VALUE(SUBSTITUTE(SUBSTITUTE('01_Raw'!H40,"$",""), ".",",")),"Invalid"))</f>
        <v>531.05999999999995</v>
      </c>
      <c r="Y39">
        <f>IF(LEN(TRIM('01_Raw'!H40)) = 0, "Missing",IFERROR(VALUE(SUBSTITUTE(SUBSTITUTE('01_Raw'!H40,"$",""), ".",",")),"Invalid"))</f>
        <v>531.05999999999995</v>
      </c>
      <c r="AA39">
        <f>IF(LEN(TRIM('01_Raw'!G40)) = 0, "Missing",IFERROR(VALUE(SUBSTITUTE(SUBSTITUTE('01_Raw'!G40,"$",""), ".",",")),"Invalid"))</f>
        <v>1</v>
      </c>
      <c r="AC39">
        <f>COUNTIF($A$2:$A$103,A40)</f>
        <v>1</v>
      </c>
      <c r="AE39">
        <f>COUNTIF(messy_ecommerce_sales_data__2[Order_ID],'01_Raw'!C40)</f>
        <v>1</v>
      </c>
      <c r="AG39">
        <f t="shared" si="1"/>
        <v>531.05999999999995</v>
      </c>
      <c r="AH39" t="str">
        <f>IF(AG39='01_Raw'!K40,"OK","Mismatch")</f>
        <v>Mismatch</v>
      </c>
      <c r="AJ39">
        <f t="shared" si="2"/>
        <v>531.05999999999995</v>
      </c>
      <c r="AK39" t="str">
        <f t="shared" si="3"/>
        <v>OK</v>
      </c>
    </row>
    <row r="40" spans="1:37" x14ac:dyDescent="0.3">
      <c r="A40">
        <f>'01_Raw'!A40</f>
        <v>138</v>
      </c>
      <c r="B40" t="str">
        <f>TRIM('01_Raw'!B40)</f>
        <v>Customer_138</v>
      </c>
      <c r="D40" s="1">
        <f t="shared" si="4"/>
        <v>45878</v>
      </c>
      <c r="E40" t="str">
        <f>TRIM('01_Raw'!E40)</f>
        <v>Lamp</v>
      </c>
      <c r="F40" t="str">
        <f>IF(PROPER(TRIM('01_Raw'!F40))="Electronic","Electronics",PROPER(TRIM('01_Raw'!F40)))</f>
        <v>Home</v>
      </c>
      <c r="I40" t="str">
        <f>TRIM('01_Raw'!I40)</f>
        <v>PayPal</v>
      </c>
      <c r="J40" t="str">
        <f>TRIM('01_Raw'!J40)</f>
        <v>Processing</v>
      </c>
      <c r="N40" t="b">
        <f>ISNUMBER('01_Raw'!D41)</f>
        <v>0</v>
      </c>
      <c r="P40" t="str">
        <f>LEFT('01_Raw'!D41, FIND("/",'01_Raw'!D41) - 1)</f>
        <v>2</v>
      </c>
      <c r="Q40" t="str">
        <f>IFERROR(RIGHT('01_Raw'!D41,4),"Invalid")</f>
        <v>2025</v>
      </c>
      <c r="R40" t="str">
        <f>MID('01_Raw'!D41,FIND("/",'01_Raw'!D41) + 1,FIND("/",'01_Raw'!D41,FIND("/",'01_Raw'!D41)+1)-FIND("/",'01_Raw'!D41)-1)</f>
        <v>9</v>
      </c>
      <c r="S40" s="1">
        <f t="shared" si="0"/>
        <v>45697</v>
      </c>
      <c r="U40">
        <f>IFERROR(VALUE(SUBSTITUTE(SUBSTITUTE('01_Raw'!H41,"$",""), ".",",")),"Invalid")</f>
        <v>681.38</v>
      </c>
      <c r="V40">
        <f>IFERROR(VALUE('01_Raw'!G41), "Invalid")</f>
        <v>2</v>
      </c>
      <c r="X40">
        <f>IF(ISBLANK('01_Raw'!H41),"Missing", IFERROR(VALUE(SUBSTITUTE(SUBSTITUTE('01_Raw'!H41,"$",""), ".",",")),"Invalid"))</f>
        <v>681.38</v>
      </c>
      <c r="Y40">
        <f>IF(LEN(TRIM('01_Raw'!H41)) = 0, "Missing",IFERROR(VALUE(SUBSTITUTE(SUBSTITUTE('01_Raw'!H41,"$",""), ".",",")),"Invalid"))</f>
        <v>681.38</v>
      </c>
      <c r="AA40">
        <f>IF(LEN(TRIM('01_Raw'!G41)) = 0, "Missing",IFERROR(VALUE(SUBSTITUTE(SUBSTITUTE('01_Raw'!G41,"$",""), ".",",")),"Invalid"))</f>
        <v>2</v>
      </c>
      <c r="AC40">
        <f>COUNTIF($A$2:$A$103,A41)</f>
        <v>1</v>
      </c>
      <c r="AE40">
        <f>COUNTIF(messy_ecommerce_sales_data__2[Order_ID],'01_Raw'!C41)</f>
        <v>1</v>
      </c>
      <c r="AG40">
        <f t="shared" si="1"/>
        <v>1362.76</v>
      </c>
      <c r="AH40" t="str">
        <f>IF(AG40='01_Raw'!K41,"OK","Mismatch")</f>
        <v>Mismatch</v>
      </c>
      <c r="AJ40">
        <f t="shared" si="2"/>
        <v>1362.76</v>
      </c>
      <c r="AK40" t="str">
        <f t="shared" si="3"/>
        <v>OK</v>
      </c>
    </row>
    <row r="41" spans="1:37" x14ac:dyDescent="0.3">
      <c r="A41">
        <f>'01_Raw'!A41</f>
        <v>139</v>
      </c>
      <c r="B41" t="str">
        <f>TRIM('01_Raw'!B41)</f>
        <v>Customer_139</v>
      </c>
      <c r="D41" s="1">
        <f t="shared" si="4"/>
        <v>45697</v>
      </c>
      <c r="E41" t="str">
        <f>TRIM('01_Raw'!E41)</f>
        <v>Smartphone</v>
      </c>
      <c r="F41" t="str">
        <f>IF(PROPER(TRIM('01_Raw'!F41))="Electronic","Electronics",PROPER(TRIM('01_Raw'!F41)))</f>
        <v>Electronics</v>
      </c>
      <c r="I41" t="str">
        <f>TRIM('01_Raw'!I41)</f>
        <v>Credit Card</v>
      </c>
      <c r="J41" t="str">
        <f>TRIM('01_Raw'!J41)</f>
        <v>Cancelled</v>
      </c>
      <c r="N41" t="b">
        <f>ISNUMBER('01_Raw'!D42)</f>
        <v>0</v>
      </c>
      <c r="P41" t="str">
        <f>LEFT('01_Raw'!D42, FIND("/",'01_Raw'!D42) - 1)</f>
        <v>2</v>
      </c>
      <c r="Q41" t="str">
        <f>IFERROR(RIGHT('01_Raw'!D42,4),"Invalid")</f>
        <v>2025</v>
      </c>
      <c r="R41" t="str">
        <f>MID('01_Raw'!D42,FIND("/",'01_Raw'!D42) + 1,FIND("/",'01_Raw'!D42,FIND("/",'01_Raw'!D42)+1)-FIND("/",'01_Raw'!D42)-1)</f>
        <v>26</v>
      </c>
      <c r="S41" s="1">
        <f t="shared" si="0"/>
        <v>45714</v>
      </c>
      <c r="U41">
        <f>IFERROR(VALUE(SUBSTITUTE(SUBSTITUTE('01_Raw'!H42,"$",""), ".",",")),"Invalid")</f>
        <v>588.98</v>
      </c>
      <c r="V41">
        <f>IFERROR(VALUE('01_Raw'!G42), "Invalid")</f>
        <v>4</v>
      </c>
      <c r="X41">
        <f>IF(ISBLANK('01_Raw'!H42),"Missing", IFERROR(VALUE(SUBSTITUTE(SUBSTITUTE('01_Raw'!H42,"$",""), ".",",")),"Invalid"))</f>
        <v>588.98</v>
      </c>
      <c r="Y41">
        <f>IF(LEN(TRIM('01_Raw'!H42)) = 0, "Missing",IFERROR(VALUE(SUBSTITUTE(SUBSTITUTE('01_Raw'!H42,"$",""), ".",",")),"Invalid"))</f>
        <v>588.98</v>
      </c>
      <c r="AA41">
        <f>IF(LEN(TRIM('01_Raw'!G42)) = 0, "Missing",IFERROR(VALUE(SUBSTITUTE(SUBSTITUTE('01_Raw'!G42,"$",""), ".",",")),"Invalid"))</f>
        <v>4</v>
      </c>
      <c r="AC41">
        <f>COUNTIF($A$2:$A$103,A42)</f>
        <v>1</v>
      </c>
      <c r="AE41">
        <f>COUNTIF(messy_ecommerce_sales_data__2[Order_ID],'01_Raw'!C42)</f>
        <v>1</v>
      </c>
      <c r="AG41">
        <f t="shared" si="1"/>
        <v>2355.92</v>
      </c>
      <c r="AH41" t="str">
        <f>IF(AG41='01_Raw'!K42,"OK","Mismatch")</f>
        <v>Mismatch</v>
      </c>
      <c r="AJ41">
        <f t="shared" si="2"/>
        <v>2355.92</v>
      </c>
      <c r="AK41" t="str">
        <f t="shared" si="3"/>
        <v>OK</v>
      </c>
    </row>
    <row r="42" spans="1:37" x14ac:dyDescent="0.3">
      <c r="A42">
        <f>'01_Raw'!A42</f>
        <v>140</v>
      </c>
      <c r="B42" t="str">
        <f>TRIM('01_Raw'!B42)</f>
        <v>Customer_140</v>
      </c>
      <c r="D42" s="1">
        <f t="shared" si="4"/>
        <v>45714</v>
      </c>
      <c r="E42" t="str">
        <f>TRIM('01_Raw'!E42)</f>
        <v>Fiction</v>
      </c>
      <c r="F42" t="str">
        <f>IF(PROPER(TRIM('01_Raw'!F42))="Electronic","Electronics",PROPER(TRIM('01_Raw'!F42)))</f>
        <v>Books</v>
      </c>
      <c r="I42" t="str">
        <f>TRIM('01_Raw'!I42)</f>
        <v>Credit Card</v>
      </c>
      <c r="J42" t="str">
        <f>TRIM('01_Raw'!J42)</f>
        <v>Returned</v>
      </c>
      <c r="N42" t="b">
        <f>ISNUMBER('01_Raw'!D43)</f>
        <v>0</v>
      </c>
      <c r="P42" t="str">
        <f>LEFT('01_Raw'!D43, FIND("/",'01_Raw'!D43) - 1)</f>
        <v>2</v>
      </c>
      <c r="Q42" t="str">
        <f>IFERROR(RIGHT('01_Raw'!D43,4),"Invalid")</f>
        <v>2025</v>
      </c>
      <c r="R42" t="str">
        <f>MID('01_Raw'!D43,FIND("/",'01_Raw'!D43) + 1,FIND("/",'01_Raw'!D43,FIND("/",'01_Raw'!D43)+1)-FIND("/",'01_Raw'!D43)-1)</f>
        <v>13</v>
      </c>
      <c r="S42" s="1">
        <f t="shared" si="0"/>
        <v>45701</v>
      </c>
      <c r="U42">
        <f>IFERROR(VALUE(SUBSTITUTE(SUBSTITUTE('01_Raw'!H43,"$",""), ".",",")),"Invalid")</f>
        <v>546.04</v>
      </c>
      <c r="V42">
        <f>IFERROR(VALUE('01_Raw'!G43), "Invalid")</f>
        <v>3</v>
      </c>
      <c r="X42">
        <f>IF(ISBLANK('01_Raw'!H43),"Missing", IFERROR(VALUE(SUBSTITUTE(SUBSTITUTE('01_Raw'!H43,"$",""), ".",",")),"Invalid"))</f>
        <v>546.04</v>
      </c>
      <c r="Y42">
        <f>IF(LEN(TRIM('01_Raw'!H43)) = 0, "Missing",IFERROR(VALUE(SUBSTITUTE(SUBSTITUTE('01_Raw'!H43,"$",""), ".",",")),"Invalid"))</f>
        <v>546.04</v>
      </c>
      <c r="AA42">
        <f>IF(LEN(TRIM('01_Raw'!G43)) = 0, "Missing",IFERROR(VALUE(SUBSTITUTE(SUBSTITUTE('01_Raw'!G43,"$",""), ".",",")),"Invalid"))</f>
        <v>3</v>
      </c>
      <c r="AC42">
        <f>COUNTIF($A$2:$A$103,A43)</f>
        <v>1</v>
      </c>
      <c r="AE42">
        <f>COUNTIF(messy_ecommerce_sales_data__2[Order_ID],'01_Raw'!C43)</f>
        <v>1</v>
      </c>
      <c r="AG42">
        <f t="shared" si="1"/>
        <v>1638.12</v>
      </c>
      <c r="AH42" t="str">
        <f>IF(AG42='01_Raw'!K43,"OK","Mismatch")</f>
        <v>Mismatch</v>
      </c>
      <c r="AJ42">
        <f t="shared" si="2"/>
        <v>1638.12</v>
      </c>
      <c r="AK42" t="str">
        <f t="shared" si="3"/>
        <v>OK</v>
      </c>
    </row>
    <row r="43" spans="1:37" x14ac:dyDescent="0.3">
      <c r="A43">
        <f>'01_Raw'!A43</f>
        <v>141</v>
      </c>
      <c r="B43" t="str">
        <f>TRIM('01_Raw'!B43)</f>
        <v>Customer_141</v>
      </c>
      <c r="D43" s="1">
        <f t="shared" si="4"/>
        <v>45701</v>
      </c>
      <c r="E43" t="str">
        <f>TRIM('01_Raw'!E43)</f>
        <v>Fiction</v>
      </c>
      <c r="F43" t="str">
        <f>IF(PROPER(TRIM('01_Raw'!F43))="Electronic","Electronics",PROPER(TRIM('01_Raw'!F43)))</f>
        <v>Books</v>
      </c>
      <c r="I43" t="str">
        <f>TRIM('01_Raw'!I43)</f>
        <v>Cash on Delivery</v>
      </c>
      <c r="J43" t="str">
        <f>TRIM('01_Raw'!J43)</f>
        <v>Returned</v>
      </c>
      <c r="N43" t="b">
        <f>ISNUMBER('01_Raw'!D44)</f>
        <v>0</v>
      </c>
      <c r="P43" t="str">
        <f>LEFT('01_Raw'!D44, FIND("/",'01_Raw'!D44) - 1)</f>
        <v>10</v>
      </c>
      <c r="Q43" t="str">
        <f>IFERROR(RIGHT('01_Raw'!D44,4),"Invalid")</f>
        <v>2025</v>
      </c>
      <c r="R43" t="str">
        <f>MID('01_Raw'!D44,FIND("/",'01_Raw'!D44) + 1,FIND("/",'01_Raw'!D44,FIND("/",'01_Raw'!D44)+1)-FIND("/",'01_Raw'!D44)-1)</f>
        <v>30</v>
      </c>
      <c r="S43" s="1">
        <f t="shared" si="0"/>
        <v>45960</v>
      </c>
      <c r="U43">
        <f>IFERROR(VALUE(SUBSTITUTE(SUBSTITUTE('01_Raw'!H44,"$",""), ".",",")),"Invalid")</f>
        <v>645.26</v>
      </c>
      <c r="V43">
        <f>IFERROR(VALUE('01_Raw'!G44), "Invalid")</f>
        <v>5</v>
      </c>
      <c r="X43">
        <f>IF(ISBLANK('01_Raw'!H44),"Missing", IFERROR(VALUE(SUBSTITUTE(SUBSTITUTE('01_Raw'!H44,"$",""), ".",",")),"Invalid"))</f>
        <v>645.26</v>
      </c>
      <c r="Y43">
        <f>IF(LEN(TRIM('01_Raw'!H44)) = 0, "Missing",IFERROR(VALUE(SUBSTITUTE(SUBSTITUTE('01_Raw'!H44,"$",""), ".",",")),"Invalid"))</f>
        <v>645.26</v>
      </c>
      <c r="AA43">
        <f>IF(LEN(TRIM('01_Raw'!G44)) = 0, "Missing",IFERROR(VALUE(SUBSTITUTE(SUBSTITUTE('01_Raw'!G44,"$",""), ".",",")),"Invalid"))</f>
        <v>5</v>
      </c>
      <c r="AC43">
        <f>COUNTIF($A$2:$A$103,#REF!)</f>
        <v>0</v>
      </c>
      <c r="AE43">
        <f>COUNTIF(messy_ecommerce_sales_data__2[Order_ID],'01_Raw'!C44)</f>
        <v>2</v>
      </c>
      <c r="AG43">
        <f t="shared" si="1"/>
        <v>3226.3</v>
      </c>
      <c r="AH43" t="str">
        <f>IF(AG43='01_Raw'!K44,"OK","Mismatch")</f>
        <v>Mismatch</v>
      </c>
      <c r="AJ43">
        <f t="shared" si="2"/>
        <v>3226.3</v>
      </c>
      <c r="AK43" t="str">
        <f t="shared" si="3"/>
        <v>OK</v>
      </c>
    </row>
    <row r="44" spans="1:37" x14ac:dyDescent="0.3">
      <c r="A44">
        <f>'01_Raw'!A45</f>
        <v>143</v>
      </c>
      <c r="B44" t="str">
        <f>TRIM('01_Raw'!B45)</f>
        <v>Customer_143</v>
      </c>
      <c r="D44" s="1">
        <f t="shared" si="4"/>
        <v>45960</v>
      </c>
      <c r="E44" t="str">
        <f>TRIM('01_Raw'!E45)</f>
        <v>T-shirt</v>
      </c>
      <c r="F44" t="str">
        <f>IF(PROPER(TRIM('01_Raw'!F45))="Electronic","Electronics",PROPER(TRIM('01_Raw'!F45)))</f>
        <v>Clothing</v>
      </c>
      <c r="I44" t="str">
        <f>TRIM('01_Raw'!I45)</f>
        <v>Bank Transfer</v>
      </c>
      <c r="J44" t="str">
        <f>TRIM('01_Raw'!J45)</f>
        <v>Cancelled</v>
      </c>
      <c r="N44" t="b">
        <f>ISNUMBER('01_Raw'!D46)</f>
        <v>0</v>
      </c>
      <c r="P44" t="str">
        <f>LEFT('01_Raw'!D46, FIND("/",'01_Raw'!D46) - 1)</f>
        <v>1</v>
      </c>
      <c r="Q44" t="str">
        <f>IFERROR(RIGHT('01_Raw'!D46,4),"Invalid")</f>
        <v>2025</v>
      </c>
      <c r="R44" t="str">
        <f>MID('01_Raw'!D46,FIND("/",'01_Raw'!D46) + 1,FIND("/",'01_Raw'!D46,FIND("/",'01_Raw'!D46)+1)-FIND("/",'01_Raw'!D46)-1)</f>
        <v>27</v>
      </c>
      <c r="S44" s="1">
        <f t="shared" si="0"/>
        <v>45684</v>
      </c>
      <c r="U44">
        <f>IFERROR(VALUE(SUBSTITUTE(SUBSTITUTE('01_Raw'!H46,"$",""), ".",",")),"Invalid")</f>
        <v>849.07</v>
      </c>
      <c r="V44">
        <f>IFERROR(VALUE('01_Raw'!G46), "Invalid")</f>
        <v>5</v>
      </c>
      <c r="X44">
        <f>IF(ISBLANK('01_Raw'!H46),"Missing", IFERROR(VALUE(SUBSTITUTE(SUBSTITUTE('01_Raw'!H46,"$",""), ".",",")),"Invalid"))</f>
        <v>849.07</v>
      </c>
      <c r="Y44">
        <f>IF(LEN(TRIM('01_Raw'!H46)) = 0, "Missing",IFERROR(VALUE(SUBSTITUTE(SUBSTITUTE('01_Raw'!H46,"$",""), ".",",")),"Invalid"))</f>
        <v>849.07</v>
      </c>
      <c r="AA44">
        <f>IF(LEN(TRIM('01_Raw'!G46)) = 0, "Missing",IFERROR(VALUE(SUBSTITUTE(SUBSTITUTE('01_Raw'!G46,"$",""), ".",",")),"Invalid"))</f>
        <v>5</v>
      </c>
      <c r="AC44">
        <f>COUNTIF($A$2:$A$103,A45)</f>
        <v>1</v>
      </c>
      <c r="AE44">
        <f>COUNTIF(messy_ecommerce_sales_data__2[Order_ID],'01_Raw'!C46)</f>
        <v>1</v>
      </c>
      <c r="AG44">
        <f t="shared" si="1"/>
        <v>4245.3500000000004</v>
      </c>
      <c r="AH44" t="str">
        <f>IF(AG44='01_Raw'!K45,"OK","Mismatch")</f>
        <v>Mismatch</v>
      </c>
      <c r="AJ44">
        <f t="shared" si="2"/>
        <v>4245.3500000000004</v>
      </c>
      <c r="AK44" t="str">
        <f t="shared" si="3"/>
        <v>OK</v>
      </c>
    </row>
    <row r="45" spans="1:37" x14ac:dyDescent="0.3">
      <c r="A45">
        <f>'01_Raw'!A46</f>
        <v>144</v>
      </c>
      <c r="B45" t="str">
        <f>TRIM('01_Raw'!B46)</f>
        <v>Customer_144</v>
      </c>
      <c r="D45" s="1">
        <f t="shared" si="4"/>
        <v>45684</v>
      </c>
      <c r="E45" t="str">
        <f>TRIM('01_Raw'!E46)</f>
        <v>Football</v>
      </c>
      <c r="F45" t="str">
        <f>IF(PROPER(TRIM('01_Raw'!F46))="Electronic","Electronics",PROPER(TRIM('01_Raw'!F46)))</f>
        <v>Sports</v>
      </c>
      <c r="I45" t="str">
        <f>TRIM('01_Raw'!I46)</f>
        <v>Bank Transfer</v>
      </c>
      <c r="J45" t="str">
        <f>TRIM('01_Raw'!J46)</f>
        <v>Processing</v>
      </c>
      <c r="N45" t="b">
        <f>ISNUMBER('01_Raw'!D47)</f>
        <v>0</v>
      </c>
      <c r="P45" t="str">
        <f>LEFT('01_Raw'!D47, FIND("/",'01_Raw'!D47) - 1)</f>
        <v>5</v>
      </c>
      <c r="Q45" t="str">
        <f>IFERROR(RIGHT('01_Raw'!D47,4),"Invalid")</f>
        <v>2023</v>
      </c>
      <c r="R45" t="str">
        <f>MID('01_Raw'!D47,FIND("/",'01_Raw'!D47) + 1,FIND("/",'01_Raw'!D47,FIND("/",'01_Raw'!D47)+1)-FIND("/",'01_Raw'!D47)-1)</f>
        <v>1</v>
      </c>
      <c r="S45" s="1">
        <f t="shared" si="0"/>
        <v>45047</v>
      </c>
      <c r="U45">
        <f>IFERROR(VALUE(SUBSTITUTE(SUBSTITUTE('01_Raw'!H47,"$",""), ".",",")),"Invalid")</f>
        <v>860.99</v>
      </c>
      <c r="V45">
        <f>IFERROR(VALUE('01_Raw'!G47), "Invalid")</f>
        <v>2</v>
      </c>
      <c r="X45">
        <f>IF(ISBLANK('01_Raw'!H47),"Missing", IFERROR(VALUE(SUBSTITUTE(SUBSTITUTE('01_Raw'!H47,"$",""), ".",",")),"Invalid"))</f>
        <v>860.99</v>
      </c>
      <c r="Y45">
        <f>IF(LEN(TRIM('01_Raw'!H47)) = 0, "Missing",IFERROR(VALUE(SUBSTITUTE(SUBSTITUTE('01_Raw'!H47,"$",""), ".",",")),"Invalid"))</f>
        <v>860.99</v>
      </c>
      <c r="AA45">
        <f>IF(LEN(TRIM('01_Raw'!G47)) = 0, "Missing",IFERROR(VALUE(SUBSTITUTE(SUBSTITUTE('01_Raw'!G47,"$",""), ".",",")),"Invalid"))</f>
        <v>2</v>
      </c>
      <c r="AC45">
        <f>COUNTIF($A$2:$A$103,A46)</f>
        <v>1</v>
      </c>
      <c r="AE45">
        <f>COUNTIF(messy_ecommerce_sales_data__2[Order_ID],'01_Raw'!C47)</f>
        <v>1</v>
      </c>
      <c r="AG45">
        <f t="shared" si="1"/>
        <v>1721.98</v>
      </c>
      <c r="AH45" t="str">
        <f>IF(AG45='01_Raw'!K46,"OK","Mismatch")</f>
        <v>Mismatch</v>
      </c>
      <c r="AJ45">
        <f t="shared" si="2"/>
        <v>1721.98</v>
      </c>
      <c r="AK45" t="str">
        <f t="shared" si="3"/>
        <v>OK</v>
      </c>
    </row>
    <row r="46" spans="1:37" x14ac:dyDescent="0.3">
      <c r="A46">
        <f>'01_Raw'!A47</f>
        <v>145</v>
      </c>
      <c r="B46" t="str">
        <f>TRIM('01_Raw'!B47)</f>
        <v>Customer_145</v>
      </c>
      <c r="D46" s="1">
        <f t="shared" si="4"/>
        <v>45047</v>
      </c>
      <c r="E46" t="str">
        <f>TRIM('01_Raw'!E47)</f>
        <v>Laptop</v>
      </c>
      <c r="F46" t="str">
        <f>IF(PROPER(TRIM('01_Raw'!F47))="Electronic","Electronics",PROPER(TRIM('01_Raw'!F47)))</f>
        <v>Electronics</v>
      </c>
      <c r="I46" t="str">
        <f>TRIM('01_Raw'!I47)</f>
        <v>Bank Transfer</v>
      </c>
      <c r="J46" t="str">
        <f>TRIM('01_Raw'!J47)</f>
        <v>Returned</v>
      </c>
      <c r="N46" t="b">
        <f>ISNUMBER('01_Raw'!D48)</f>
        <v>0</v>
      </c>
      <c r="P46" t="str">
        <f>LEFT('01_Raw'!D48, FIND("/",'01_Raw'!D48) - 1)</f>
        <v>7</v>
      </c>
      <c r="Q46" t="str">
        <f>IFERROR(RIGHT('01_Raw'!D48,4),"Invalid")</f>
        <v>2025</v>
      </c>
      <c r="R46" t="str">
        <f>MID('01_Raw'!D48,FIND("/",'01_Raw'!D48) + 1,FIND("/",'01_Raw'!D48,FIND("/",'01_Raw'!D48)+1)-FIND("/",'01_Raw'!D48)-1)</f>
        <v>9</v>
      </c>
      <c r="S46" s="1">
        <f t="shared" si="0"/>
        <v>45847</v>
      </c>
      <c r="U46">
        <f>IFERROR(VALUE(SUBSTITUTE(SUBSTITUTE('01_Raw'!H48,"$",""), ".",",")),"Invalid")</f>
        <v>705.42</v>
      </c>
      <c r="V46">
        <f>IFERROR(VALUE('01_Raw'!G48), "Invalid")</f>
        <v>2</v>
      </c>
      <c r="X46">
        <f>IF(ISBLANK('01_Raw'!H48),"Missing", IFERROR(VALUE(SUBSTITUTE(SUBSTITUTE('01_Raw'!H48,"$",""), ".",",")),"Invalid"))</f>
        <v>705.42</v>
      </c>
      <c r="Y46">
        <f>IF(LEN(TRIM('01_Raw'!H48)) = 0, "Missing",IFERROR(VALUE(SUBSTITUTE(SUBSTITUTE('01_Raw'!H48,"$",""), ".",",")),"Invalid"))</f>
        <v>705.42</v>
      </c>
      <c r="AA46">
        <f>IF(LEN(TRIM('01_Raw'!G48)) = 0, "Missing",IFERROR(VALUE(SUBSTITUTE(SUBSTITUTE('01_Raw'!G48,"$",""), ".",",")),"Invalid"))</f>
        <v>2</v>
      </c>
      <c r="AC46">
        <f>COUNTIF($A$2:$A$103,A47)</f>
        <v>2</v>
      </c>
      <c r="AE46">
        <f>COUNTIF(messy_ecommerce_sales_data__2[Order_ID],'01_Raw'!C48)</f>
        <v>2</v>
      </c>
      <c r="AG46">
        <f t="shared" si="1"/>
        <v>1410.84</v>
      </c>
      <c r="AH46" t="str">
        <f>IF(AG46='01_Raw'!K47,"OK","Mismatch")</f>
        <v>Mismatch</v>
      </c>
      <c r="AJ46">
        <f t="shared" si="2"/>
        <v>1410.84</v>
      </c>
      <c r="AK46" t="str">
        <f t="shared" si="3"/>
        <v>OK</v>
      </c>
    </row>
    <row r="47" spans="1:37" x14ac:dyDescent="0.3">
      <c r="A47">
        <f>'01_Raw'!A48</f>
        <v>146</v>
      </c>
      <c r="B47" t="str">
        <f>TRIM('01_Raw'!B48)</f>
        <v>Customer_146</v>
      </c>
      <c r="D47" s="1">
        <f t="shared" si="4"/>
        <v>45847</v>
      </c>
      <c r="E47" t="str">
        <f>TRIM('01_Raw'!E48)</f>
        <v>Basketball</v>
      </c>
      <c r="F47" t="str">
        <f>IF(PROPER(TRIM('01_Raw'!F48))="Electronic","Electronics",PROPER(TRIM('01_Raw'!F48)))</f>
        <v>Electronics</v>
      </c>
      <c r="I47" t="str">
        <f>TRIM('01_Raw'!I48)</f>
        <v>Bank Transfer</v>
      </c>
      <c r="J47" t="str">
        <f>TRIM('01_Raw'!J48)</f>
        <v>Processing</v>
      </c>
      <c r="N47" t="b">
        <f>ISNUMBER('01_Raw'!D49)</f>
        <v>0</v>
      </c>
      <c r="P47" t="str">
        <f>LEFT('01_Raw'!D49, FIND("/",'01_Raw'!D49) - 1)</f>
        <v>5</v>
      </c>
      <c r="Q47" t="str">
        <f>IFERROR(RIGHT('01_Raw'!D49,4),"Invalid")</f>
        <v>2025</v>
      </c>
      <c r="R47" t="str">
        <f>MID('01_Raw'!D49,FIND("/",'01_Raw'!D49) + 1,FIND("/",'01_Raw'!D49,FIND("/",'01_Raw'!D49)+1)-FIND("/",'01_Raw'!D49)-1)</f>
        <v>1</v>
      </c>
      <c r="S47" s="1">
        <f t="shared" si="0"/>
        <v>45778</v>
      </c>
      <c r="U47">
        <f>IFERROR(VALUE(SUBSTITUTE(SUBSTITUTE('01_Raw'!H49,"$",""), ".",",")),"Invalid")</f>
        <v>596.15</v>
      </c>
      <c r="V47">
        <f>IFERROR(VALUE('01_Raw'!G49), "Invalid")</f>
        <v>4</v>
      </c>
      <c r="X47">
        <f>IF(ISBLANK('01_Raw'!H49),"Missing", IFERROR(VALUE(SUBSTITUTE(SUBSTITUTE('01_Raw'!H49,"$",""), ".",",")),"Invalid"))</f>
        <v>596.15</v>
      </c>
      <c r="Y47">
        <f>IF(LEN(TRIM('01_Raw'!H49)) = 0, "Missing",IFERROR(VALUE(SUBSTITUTE(SUBSTITUTE('01_Raw'!H49,"$",""), ".",",")),"Invalid"))</f>
        <v>596.15</v>
      </c>
      <c r="AA47">
        <f>IF(LEN(TRIM('01_Raw'!G49)) = 0, "Missing",IFERROR(VALUE(SUBSTITUTE(SUBSTITUTE('01_Raw'!G49,"$",""), ".",",")),"Invalid"))</f>
        <v>4</v>
      </c>
      <c r="AC47">
        <f>COUNTIF($A$2:$A$103,A48)</f>
        <v>1</v>
      </c>
      <c r="AE47">
        <f>COUNTIF(messy_ecommerce_sales_data__2[Order_ID],'01_Raw'!C49)</f>
        <v>1</v>
      </c>
      <c r="AG47">
        <f t="shared" si="1"/>
        <v>2384.6</v>
      </c>
      <c r="AH47" t="str">
        <f>IF(AG47='01_Raw'!K48,"OK","Mismatch")</f>
        <v>Mismatch</v>
      </c>
      <c r="AJ47">
        <f t="shared" si="2"/>
        <v>2384.6</v>
      </c>
      <c r="AK47" t="str">
        <f t="shared" si="3"/>
        <v>OK</v>
      </c>
    </row>
    <row r="48" spans="1:37" x14ac:dyDescent="0.3">
      <c r="A48">
        <f>'01_Raw'!A49</f>
        <v>147</v>
      </c>
      <c r="B48" t="str">
        <f>TRIM('01_Raw'!B49)</f>
        <v>Customer_147</v>
      </c>
      <c r="D48" s="1">
        <f t="shared" si="4"/>
        <v>45778</v>
      </c>
      <c r="E48" t="str">
        <f>TRIM('01_Raw'!E49)</f>
        <v>Jacket</v>
      </c>
      <c r="F48" t="str">
        <f>IF(PROPER(TRIM('01_Raw'!F49))="Electronic","Electronics",PROPER(TRIM('01_Raw'!F49)))</f>
        <v>Clothing</v>
      </c>
      <c r="I48" t="str">
        <f>TRIM('01_Raw'!I49)</f>
        <v>Cash on Delivery</v>
      </c>
      <c r="J48" t="str">
        <f>TRIM('01_Raw'!J49)</f>
        <v>Shipped</v>
      </c>
      <c r="N48" t="b">
        <f>ISNUMBER('01_Raw'!D50)</f>
        <v>0</v>
      </c>
      <c r="P48" t="str">
        <f>LEFT('01_Raw'!D50, FIND("/",'01_Raw'!D50) - 1)</f>
        <v>3</v>
      </c>
      <c r="Q48" t="str">
        <f>IFERROR(RIGHT('01_Raw'!D50,4),"Invalid")</f>
        <v>2025</v>
      </c>
      <c r="R48" t="str">
        <f>MID('01_Raw'!D50,FIND("/",'01_Raw'!D50) + 1,FIND("/",'01_Raw'!D50,FIND("/",'01_Raw'!D50)+1)-FIND("/",'01_Raw'!D50)-1)</f>
        <v>13</v>
      </c>
      <c r="S48" s="1">
        <f t="shared" si="0"/>
        <v>45729</v>
      </c>
      <c r="U48">
        <f>IFERROR(VALUE(SUBSTITUTE(SUBSTITUTE('01_Raw'!H50,"$",""), ".",",")),"Invalid")</f>
        <v>660.98</v>
      </c>
      <c r="V48">
        <f>IFERROR(VALUE('01_Raw'!G50), "Invalid")</f>
        <v>1</v>
      </c>
      <c r="X48">
        <f>IF(ISBLANK('01_Raw'!H50),"Missing", IFERROR(VALUE(SUBSTITUTE(SUBSTITUTE('01_Raw'!H50,"$",""), ".",",")),"Invalid"))</f>
        <v>660.98</v>
      </c>
      <c r="Y48">
        <f>IF(LEN(TRIM('01_Raw'!H50)) = 0, "Missing",IFERROR(VALUE(SUBSTITUTE(SUBSTITUTE('01_Raw'!H50,"$",""), ".",",")),"Invalid"))</f>
        <v>660.98</v>
      </c>
      <c r="AA48">
        <f>IF(LEN(TRIM('01_Raw'!G50)) = 0, "Missing",IFERROR(VALUE(SUBSTITUTE(SUBSTITUTE('01_Raw'!G50,"$",""), ".",",")),"Invalid"))</f>
        <v>1</v>
      </c>
      <c r="AC48">
        <f>COUNTIF($A$2:$A$103,A49)</f>
        <v>1</v>
      </c>
      <c r="AE48">
        <f>COUNTIF(messy_ecommerce_sales_data__2[Order_ID],'01_Raw'!C50)</f>
        <v>1</v>
      </c>
      <c r="AG48">
        <f t="shared" si="1"/>
        <v>660.98</v>
      </c>
      <c r="AH48" t="str">
        <f>IF(AG48='01_Raw'!K49,"OK","Mismatch")</f>
        <v>Mismatch</v>
      </c>
      <c r="AJ48">
        <f t="shared" si="2"/>
        <v>660.98</v>
      </c>
      <c r="AK48" t="str">
        <f t="shared" si="3"/>
        <v>OK</v>
      </c>
    </row>
    <row r="49" spans="1:37" x14ac:dyDescent="0.3">
      <c r="A49">
        <f>'01_Raw'!A50</f>
        <v>148</v>
      </c>
      <c r="B49" t="str">
        <f>TRIM('01_Raw'!B50)</f>
        <v>Customer_148</v>
      </c>
      <c r="D49" s="1">
        <f>IFERROR(DATE(Q48,P48,R48),"Invalid")</f>
        <v>45729</v>
      </c>
      <c r="E49" t="str">
        <f>TRIM('01_Raw'!E50)</f>
        <v>Tennis Racket</v>
      </c>
      <c r="F49" t="str">
        <f>IF(PROPER(TRIM('01_Raw'!F50))="Electronic","Electronics",PROPER(TRIM('01_Raw'!F50)))</f>
        <v>Sports</v>
      </c>
      <c r="I49" t="str">
        <f>TRIM('01_Raw'!I50)</f>
        <v>Cash on Delivery</v>
      </c>
      <c r="J49" t="str">
        <f>TRIM('01_Raw'!J50)</f>
        <v>Returned</v>
      </c>
      <c r="N49" t="b">
        <f>ISNUMBER('01_Raw'!D51)</f>
        <v>0</v>
      </c>
      <c r="P49" t="str">
        <f>LEFT('01_Raw'!D51, FIND("/",'01_Raw'!D51) - 1)</f>
        <v>6</v>
      </c>
      <c r="Q49" t="str">
        <f>IFERROR(RIGHT('01_Raw'!D51,4),"Invalid")</f>
        <v>2025</v>
      </c>
      <c r="R49" t="str">
        <f>MID('01_Raw'!D51,FIND("/",'01_Raw'!D51) + 1,FIND("/",'01_Raw'!D51,FIND("/",'01_Raw'!D51)+1)-FIND("/",'01_Raw'!D51)-1)</f>
        <v>29</v>
      </c>
      <c r="S49" s="1">
        <f t="shared" si="0"/>
        <v>45837</v>
      </c>
      <c r="U49">
        <f>IFERROR(VALUE(SUBSTITUTE(SUBSTITUTE('01_Raw'!H51,"$",""), ".",",")),"Invalid")</f>
        <v>896.38</v>
      </c>
      <c r="V49">
        <f>IFERROR(VALUE('01_Raw'!G51), "Invalid")</f>
        <v>5</v>
      </c>
      <c r="X49">
        <f>IF(ISBLANK('01_Raw'!H51),"Missing", IFERROR(VALUE(SUBSTITUTE(SUBSTITUTE('01_Raw'!H51,"$",""), ".",",")),"Invalid"))</f>
        <v>896.38</v>
      </c>
      <c r="Y49">
        <f>IF(LEN(TRIM('01_Raw'!H51)) = 0, "Missing",IFERROR(VALUE(SUBSTITUTE(SUBSTITUTE('01_Raw'!H51,"$",""), ".",",")),"Invalid"))</f>
        <v>896.38</v>
      </c>
      <c r="AA49">
        <f>IF(LEN(TRIM('01_Raw'!G51)) = 0, "Missing",IFERROR(VALUE(SUBSTITUTE(SUBSTITUTE('01_Raw'!G51,"$",""), ".",",")),"Invalid"))</f>
        <v>5</v>
      </c>
      <c r="AC49">
        <f>COUNTIF($A$2:$A$103,A50)</f>
        <v>1</v>
      </c>
      <c r="AE49">
        <f>COUNTIF(messy_ecommerce_sales_data__2[Order_ID],'01_Raw'!C51)</f>
        <v>1</v>
      </c>
      <c r="AG49">
        <f t="shared" si="1"/>
        <v>4481.8999999999996</v>
      </c>
      <c r="AH49" t="str">
        <f>IF(AG49='01_Raw'!K50,"OK","Mismatch")</f>
        <v>Mismatch</v>
      </c>
      <c r="AJ49">
        <f t="shared" si="2"/>
        <v>4481.8999999999996</v>
      </c>
      <c r="AK49" t="str">
        <f t="shared" si="3"/>
        <v>OK</v>
      </c>
    </row>
    <row r="50" spans="1:37" x14ac:dyDescent="0.3">
      <c r="A50">
        <f>'01_Raw'!A51</f>
        <v>149</v>
      </c>
      <c r="B50" t="str">
        <f>TRIM('01_Raw'!B51)</f>
        <v>Customer_149</v>
      </c>
      <c r="D50" s="1">
        <f t="shared" si="4"/>
        <v>45837</v>
      </c>
      <c r="E50" t="str">
        <f>TRIM('01_Raw'!E51)</f>
        <v>Comics</v>
      </c>
      <c r="F50" t="str">
        <f>IF(PROPER(TRIM('01_Raw'!F51))="Electronic","Electronics",PROPER(TRIM('01_Raw'!F51)))</f>
        <v>Books</v>
      </c>
      <c r="I50" t="str">
        <f>TRIM('01_Raw'!I51)</f>
        <v>Bank Transfer</v>
      </c>
      <c r="J50" t="str">
        <f>TRIM('01_Raw'!J51)</f>
        <v>Cancelled</v>
      </c>
      <c r="N50" t="b">
        <f>ISNUMBER('01_Raw'!D52)</f>
        <v>0</v>
      </c>
      <c r="P50" t="str">
        <f>LEFT('01_Raw'!D52, FIND("/",'01_Raw'!D52) - 1)</f>
        <v>11</v>
      </c>
      <c r="Q50" t="str">
        <f>IFERROR(RIGHT('01_Raw'!D52,4),"Invalid")</f>
        <v>2024</v>
      </c>
      <c r="R50" t="str">
        <f>MID('01_Raw'!D52,FIND("/",'01_Raw'!D52) + 1,FIND("/",'01_Raw'!D52,FIND("/",'01_Raw'!D52)+1)-FIND("/",'01_Raw'!D52)-1)</f>
        <v>27</v>
      </c>
      <c r="S50" s="1">
        <f t="shared" si="0"/>
        <v>45623</v>
      </c>
      <c r="U50">
        <f>IFERROR(VALUE(SUBSTITUTE(SUBSTITUTE('01_Raw'!H52,"$",""), ".",",")),"Invalid")</f>
        <v>206.19</v>
      </c>
      <c r="V50">
        <f>IFERROR(VALUE('01_Raw'!G52), "Invalid")</f>
        <v>1</v>
      </c>
      <c r="X50">
        <f>IF(ISBLANK('01_Raw'!H52),"Missing", IFERROR(VALUE(SUBSTITUTE(SUBSTITUTE('01_Raw'!H52,"$",""), ".",",")),"Invalid"))</f>
        <v>206.19</v>
      </c>
      <c r="Y50">
        <f>IF(LEN(TRIM('01_Raw'!H52)) = 0, "Missing",IFERROR(VALUE(SUBSTITUTE(SUBSTITUTE('01_Raw'!H52,"$",""), ".",",")),"Invalid"))</f>
        <v>206.19</v>
      </c>
      <c r="AA50">
        <f>IF(LEN(TRIM('01_Raw'!G52)) = 0, "Missing",IFERROR(VALUE(SUBSTITUTE(SUBSTITUTE('01_Raw'!G52,"$",""), ".",",")),"Invalid"))</f>
        <v>1</v>
      </c>
      <c r="AC50">
        <f>COUNTIF($A$2:$A$103,A51)</f>
        <v>1</v>
      </c>
      <c r="AE50">
        <f>COUNTIF(messy_ecommerce_sales_data__2[Order_ID],'01_Raw'!C52)</f>
        <v>1</v>
      </c>
      <c r="AG50">
        <f t="shared" si="1"/>
        <v>206.19</v>
      </c>
      <c r="AH50" t="str">
        <f>IF(AG50='01_Raw'!K51,"OK","Mismatch")</f>
        <v>Mismatch</v>
      </c>
      <c r="AJ50">
        <f t="shared" si="2"/>
        <v>206.19</v>
      </c>
      <c r="AK50" t="str">
        <f t="shared" si="3"/>
        <v>OK</v>
      </c>
    </row>
    <row r="51" spans="1:37" x14ac:dyDescent="0.3">
      <c r="A51">
        <f>'01_Raw'!A52</f>
        <v>150</v>
      </c>
      <c r="B51" t="str">
        <f>TRIM('01_Raw'!B52)</f>
        <v>Customer_150</v>
      </c>
      <c r="D51" s="1">
        <f t="shared" si="4"/>
        <v>45623</v>
      </c>
      <c r="E51" t="str">
        <f>TRIM('01_Raw'!E52)</f>
        <v>Yoga Mat</v>
      </c>
      <c r="F51" t="str">
        <f>IF(PROPER(TRIM('01_Raw'!F52))="Electronic","Electronics",PROPER(TRIM('01_Raw'!F52)))</f>
        <v>Sports</v>
      </c>
      <c r="I51" t="str">
        <f>TRIM('01_Raw'!I52)</f>
        <v>Credit Card</v>
      </c>
      <c r="J51" t="str">
        <f>TRIM('01_Raw'!J52)</f>
        <v>Returned</v>
      </c>
      <c r="N51" t="b">
        <f>ISNUMBER('01_Raw'!D53)</f>
        <v>0</v>
      </c>
      <c r="P51" t="str">
        <f>LEFT('01_Raw'!D53, FIND("/",'01_Raw'!D53) - 1)</f>
        <v>7</v>
      </c>
      <c r="Q51" t="str">
        <f>IFERROR(RIGHT('01_Raw'!D53,4),"Invalid")</f>
        <v>2025</v>
      </c>
      <c r="R51" t="str">
        <f>MID('01_Raw'!D53,FIND("/",'01_Raw'!D53) + 1,FIND("/",'01_Raw'!D53,FIND("/",'01_Raw'!D53)+1)-FIND("/",'01_Raw'!D53)-1)</f>
        <v>1</v>
      </c>
      <c r="S51" s="1">
        <f t="shared" si="0"/>
        <v>45839</v>
      </c>
      <c r="U51">
        <f>IFERROR(VALUE(SUBSTITUTE(SUBSTITUTE('01_Raw'!H53,"$",""), ".",",")),"Invalid")</f>
        <v>457.16</v>
      </c>
      <c r="V51">
        <f>IFERROR(VALUE('01_Raw'!G53), "Invalid")</f>
        <v>2</v>
      </c>
      <c r="X51">
        <f>IF(ISBLANK('01_Raw'!H53),"Missing", IFERROR(VALUE(SUBSTITUTE(SUBSTITUTE('01_Raw'!H53,"$",""), ".",",")),"Invalid"))</f>
        <v>457.16</v>
      </c>
      <c r="Y51">
        <f>IF(LEN(TRIM('01_Raw'!H53)) = 0, "Missing",IFERROR(VALUE(SUBSTITUTE(SUBSTITUTE('01_Raw'!H53,"$",""), ".",",")),"Invalid"))</f>
        <v>457.16</v>
      </c>
      <c r="AA51">
        <f>IF(LEN(TRIM('01_Raw'!G53)) = 0, "Missing",IFERROR(VALUE(SUBSTITUTE(SUBSTITUTE('01_Raw'!G53,"$",""), ".",",")),"Invalid"))</f>
        <v>2</v>
      </c>
      <c r="AC51">
        <f>COUNTIF($A$2:$A$103,A52)</f>
        <v>1</v>
      </c>
      <c r="AE51">
        <f>COUNTIF(messy_ecommerce_sales_data__2[Order_ID],'01_Raw'!C53)</f>
        <v>1</v>
      </c>
      <c r="AG51">
        <f t="shared" si="1"/>
        <v>914.32</v>
      </c>
      <c r="AH51" t="str">
        <f>IF(AG51='01_Raw'!K52,"OK","Mismatch")</f>
        <v>Mismatch</v>
      </c>
      <c r="AJ51">
        <f t="shared" si="2"/>
        <v>914.32</v>
      </c>
      <c r="AK51" t="str">
        <f t="shared" si="3"/>
        <v>OK</v>
      </c>
    </row>
    <row r="52" spans="1:37" x14ac:dyDescent="0.3">
      <c r="A52">
        <f>'01_Raw'!A53</f>
        <v>151</v>
      </c>
      <c r="B52" t="str">
        <f>TRIM('01_Raw'!B53)</f>
        <v>Customer_151</v>
      </c>
      <c r="D52" s="1">
        <f t="shared" si="4"/>
        <v>45839</v>
      </c>
      <c r="E52" t="str">
        <f>TRIM('01_Raw'!E53)</f>
        <v>Comics</v>
      </c>
      <c r="F52" t="str">
        <f>IF(PROPER(TRIM('01_Raw'!F53))="Electronic","Electronics",PROPER(TRIM('01_Raw'!F53)))</f>
        <v>Books</v>
      </c>
      <c r="I52" t="str">
        <f>TRIM('01_Raw'!I53)</f>
        <v>PayPal</v>
      </c>
      <c r="J52" t="str">
        <f>TRIM('01_Raw'!J53)</f>
        <v>Processing</v>
      </c>
      <c r="N52" t="b">
        <f>ISNUMBER('01_Raw'!D54)</f>
        <v>0</v>
      </c>
      <c r="P52" t="str">
        <f>LEFT('01_Raw'!D54, FIND("/",'01_Raw'!D54) - 1)</f>
        <v>9</v>
      </c>
      <c r="Q52" t="str">
        <f>IFERROR(RIGHT('01_Raw'!D54,4),"Invalid")</f>
        <v>2025</v>
      </c>
      <c r="R52" t="str">
        <f>MID('01_Raw'!D54,FIND("/",'01_Raw'!D54) + 1,FIND("/",'01_Raw'!D54,FIND("/",'01_Raw'!D54)+1)-FIND("/",'01_Raw'!D54)-1)</f>
        <v>22</v>
      </c>
      <c r="S52" s="1">
        <f t="shared" si="0"/>
        <v>45922</v>
      </c>
      <c r="U52">
        <f>IFERROR(VALUE(SUBSTITUTE(SUBSTITUTE('01_Raw'!H54,"$",""), ".",",")),"Invalid")</f>
        <v>233.11</v>
      </c>
      <c r="V52">
        <f>IFERROR(VALUE('01_Raw'!G54), "Invalid")</f>
        <v>3</v>
      </c>
      <c r="X52">
        <f>IF(ISBLANK('01_Raw'!H54),"Missing", IFERROR(VALUE(SUBSTITUTE(SUBSTITUTE('01_Raw'!H54,"$",""), ".",",")),"Invalid"))</f>
        <v>233.11</v>
      </c>
      <c r="Y52">
        <f>IF(LEN(TRIM('01_Raw'!H54)) = 0, "Missing",IFERROR(VALUE(SUBSTITUTE(SUBSTITUTE('01_Raw'!H54,"$",""), ".",",")),"Invalid"))</f>
        <v>233.11</v>
      </c>
      <c r="AA52">
        <f>IF(LEN(TRIM('01_Raw'!G54)) = 0, "Missing",IFERROR(VALUE(SUBSTITUTE(SUBSTITUTE('01_Raw'!G54,"$",""), ".",",")),"Invalid"))</f>
        <v>3</v>
      </c>
      <c r="AC52">
        <f>COUNTIF($A$2:$A$103,A53)</f>
        <v>1</v>
      </c>
      <c r="AE52">
        <f>COUNTIF(messy_ecommerce_sales_data__2[Order_ID],'01_Raw'!C54)</f>
        <v>1</v>
      </c>
      <c r="AG52">
        <f t="shared" si="1"/>
        <v>699.33</v>
      </c>
      <c r="AH52" t="str">
        <f>IF(AG52='01_Raw'!K53,"OK","Mismatch")</f>
        <v>Mismatch</v>
      </c>
      <c r="AJ52">
        <f t="shared" si="2"/>
        <v>699.33</v>
      </c>
      <c r="AK52" t="str">
        <f t="shared" si="3"/>
        <v>OK</v>
      </c>
    </row>
    <row r="53" spans="1:37" x14ac:dyDescent="0.3">
      <c r="A53">
        <f>'01_Raw'!A54</f>
        <v>152</v>
      </c>
      <c r="B53" t="str">
        <f>TRIM('01_Raw'!B54)</f>
        <v>Customer_152</v>
      </c>
      <c r="D53" s="1">
        <f t="shared" si="4"/>
        <v>45922</v>
      </c>
      <c r="E53" t="str">
        <f>TRIM('01_Raw'!E54)</f>
        <v>Lamp</v>
      </c>
      <c r="F53" t="str">
        <f>IF(PROPER(TRIM('01_Raw'!F54))="Electronic","Electronics",PROPER(TRIM('01_Raw'!F54)))</f>
        <v>Home</v>
      </c>
      <c r="I53" t="str">
        <f>TRIM('01_Raw'!I54)</f>
        <v>PayPal</v>
      </c>
      <c r="J53" t="str">
        <f>TRIM('01_Raw'!J54)</f>
        <v>Returned</v>
      </c>
      <c r="N53" t="b">
        <f>ISNUMBER('01_Raw'!D55)</f>
        <v>0</v>
      </c>
      <c r="P53" t="str">
        <f>LEFT('01_Raw'!D55, FIND("/",'01_Raw'!D55) - 1)</f>
        <v>7</v>
      </c>
      <c r="Q53" t="str">
        <f>IFERROR(RIGHT('01_Raw'!D55,4),"Invalid")</f>
        <v>2025</v>
      </c>
      <c r="R53" t="str">
        <f>MID('01_Raw'!D55,FIND("/",'01_Raw'!D55) + 1,FIND("/",'01_Raw'!D55,FIND("/",'01_Raw'!D55)+1)-FIND("/",'01_Raw'!D55)-1)</f>
        <v>16</v>
      </c>
      <c r="S53" s="1">
        <f t="shared" si="0"/>
        <v>45854</v>
      </c>
      <c r="U53">
        <f>IFERROR(VALUE(SUBSTITUTE(SUBSTITUTE('01_Raw'!H55,"$",""), ".",",")),"Invalid")</f>
        <v>278.89999999999998</v>
      </c>
      <c r="V53">
        <f>IFERROR(VALUE('01_Raw'!G55), "Invalid")</f>
        <v>4</v>
      </c>
      <c r="X53">
        <f>IF(ISBLANK('01_Raw'!H55),"Missing", IFERROR(VALUE(SUBSTITUTE(SUBSTITUTE('01_Raw'!H55,"$",""), ".",",")),"Invalid"))</f>
        <v>278.89999999999998</v>
      </c>
      <c r="Y53">
        <f>IF(LEN(TRIM('01_Raw'!H55)) = 0, "Missing",IFERROR(VALUE(SUBSTITUTE(SUBSTITUTE('01_Raw'!H55,"$",""), ".",",")),"Invalid"))</f>
        <v>278.89999999999998</v>
      </c>
      <c r="AA53">
        <f>IF(LEN(TRIM('01_Raw'!G55)) = 0, "Missing",IFERROR(VALUE(SUBSTITUTE(SUBSTITUTE('01_Raw'!G55,"$",""), ".",",")),"Invalid"))</f>
        <v>4</v>
      </c>
      <c r="AC53">
        <f>COUNTIF($A$2:$A$103,A54)</f>
        <v>1</v>
      </c>
      <c r="AE53">
        <f>COUNTIF(messy_ecommerce_sales_data__2[Order_ID],'01_Raw'!C55)</f>
        <v>1</v>
      </c>
      <c r="AG53">
        <f t="shared" si="1"/>
        <v>1115.5999999999999</v>
      </c>
      <c r="AH53" t="str">
        <f>IF(AG53='01_Raw'!K54,"OK","Mismatch")</f>
        <v>Mismatch</v>
      </c>
      <c r="AJ53">
        <f t="shared" si="2"/>
        <v>1115.5999999999999</v>
      </c>
      <c r="AK53" t="str">
        <f t="shared" si="3"/>
        <v>OK</v>
      </c>
    </row>
    <row r="54" spans="1:37" x14ac:dyDescent="0.3">
      <c r="A54">
        <f>'01_Raw'!A55</f>
        <v>153</v>
      </c>
      <c r="B54" t="str">
        <f>TRIM('01_Raw'!B55)</f>
        <v>Customer_153</v>
      </c>
      <c r="D54" s="1">
        <f t="shared" si="4"/>
        <v>45854</v>
      </c>
      <c r="E54" t="str">
        <f>TRIM('01_Raw'!E55)</f>
        <v>Yoga Mat</v>
      </c>
      <c r="F54" t="str">
        <f>IF(PROPER(TRIM('01_Raw'!F55))="Electronic","Electronics",PROPER(TRIM('01_Raw'!F55)))</f>
        <v>Sports</v>
      </c>
      <c r="I54" t="str">
        <f>TRIM('01_Raw'!I55)</f>
        <v>Cash on Delivery</v>
      </c>
      <c r="J54" t="str">
        <f>TRIM('01_Raw'!J55)</f>
        <v>Processing</v>
      </c>
      <c r="N54" t="b">
        <f>ISNUMBER('01_Raw'!D56)</f>
        <v>0</v>
      </c>
      <c r="P54" t="str">
        <f>LEFT('01_Raw'!D56, FIND("/",'01_Raw'!D56) - 1)</f>
        <v>2</v>
      </c>
      <c r="Q54" t="str">
        <f>IFERROR(RIGHT('01_Raw'!D56,4),"Invalid")</f>
        <v>2025</v>
      </c>
      <c r="R54" t="str">
        <f>MID('01_Raw'!D56,FIND("/",'01_Raw'!D56) + 1,FIND("/",'01_Raw'!D56,FIND("/",'01_Raw'!D56)+1)-FIND("/",'01_Raw'!D56)-1)</f>
        <v>21</v>
      </c>
      <c r="S54" s="1">
        <f t="shared" si="0"/>
        <v>45709</v>
      </c>
      <c r="U54">
        <f>IFERROR(VALUE(SUBSTITUTE(SUBSTITUTE('01_Raw'!H56,"$",""), ".",",")),"Invalid")</f>
        <v>789.64</v>
      </c>
      <c r="V54">
        <f>IFERROR(VALUE('01_Raw'!G56), "Invalid")</f>
        <v>5</v>
      </c>
      <c r="X54">
        <f>IF(ISBLANK('01_Raw'!H56),"Missing", IFERROR(VALUE(SUBSTITUTE(SUBSTITUTE('01_Raw'!H56,"$",""), ".",",")),"Invalid"))</f>
        <v>789.64</v>
      </c>
      <c r="Y54">
        <f>IF(LEN(TRIM('01_Raw'!H56)) = 0, "Missing",IFERROR(VALUE(SUBSTITUTE(SUBSTITUTE('01_Raw'!H56,"$",""), ".",",")),"Invalid"))</f>
        <v>789.64</v>
      </c>
      <c r="AA54">
        <f>IF(LEN(TRIM('01_Raw'!G56)) = 0, "Missing",IFERROR(VALUE(SUBSTITUTE(SUBSTITUTE('01_Raw'!G56,"$",""), ".",",")),"Invalid"))</f>
        <v>5</v>
      </c>
      <c r="AC54">
        <f>COUNTIF($A$2:$A$103,A55)</f>
        <v>1</v>
      </c>
      <c r="AE54">
        <f>COUNTIF(messy_ecommerce_sales_data__2[Order_ID],'01_Raw'!C56)</f>
        <v>1</v>
      </c>
      <c r="AG54">
        <f t="shared" si="1"/>
        <v>3948.2</v>
      </c>
      <c r="AH54" t="str">
        <f>IF(AG54='01_Raw'!K55,"OK","Mismatch")</f>
        <v>Mismatch</v>
      </c>
      <c r="AJ54">
        <f t="shared" si="2"/>
        <v>3948.2</v>
      </c>
      <c r="AK54" t="str">
        <f t="shared" si="3"/>
        <v>OK</v>
      </c>
    </row>
    <row r="55" spans="1:37" x14ac:dyDescent="0.3">
      <c r="A55">
        <f>'01_Raw'!A56</f>
        <v>154</v>
      </c>
      <c r="B55" t="str">
        <f>TRIM('01_Raw'!B56)</f>
        <v>Customer_154</v>
      </c>
      <c r="D55" s="1">
        <f t="shared" si="4"/>
        <v>45709</v>
      </c>
      <c r="E55" t="str">
        <f>TRIM('01_Raw'!E56)</f>
        <v>Blender</v>
      </c>
      <c r="F55" t="str">
        <f>IF(PROPER(TRIM('01_Raw'!F56))="Electronic","Electronics",PROPER(TRIM('01_Raw'!F56)))</f>
        <v>Home</v>
      </c>
      <c r="I55" t="str">
        <f>TRIM('01_Raw'!I56)</f>
        <v>Cash on Delivery</v>
      </c>
      <c r="J55" t="str">
        <f>TRIM('01_Raw'!J56)</f>
        <v>Cancelled</v>
      </c>
      <c r="N55" t="b">
        <f>ISNUMBER('01_Raw'!D57)</f>
        <v>0</v>
      </c>
      <c r="P55" t="str">
        <f>LEFT('01_Raw'!D57, FIND("/",'01_Raw'!D57) - 1)</f>
        <v>5</v>
      </c>
      <c r="Q55" t="str">
        <f>IFERROR(RIGHT('01_Raw'!D57,4),"Invalid")</f>
        <v>2025</v>
      </c>
      <c r="R55" t="str">
        <f>MID('01_Raw'!D57,FIND("/",'01_Raw'!D57) + 1,FIND("/",'01_Raw'!D57,FIND("/",'01_Raw'!D57)+1)-FIND("/",'01_Raw'!D57)-1)</f>
        <v>1</v>
      </c>
      <c r="S55" s="1">
        <f t="shared" si="0"/>
        <v>45778</v>
      </c>
      <c r="U55">
        <f>IFERROR(VALUE(SUBSTITUTE(SUBSTITUTE('01_Raw'!H57,"$",""), ".",",")),"Invalid")</f>
        <v>40.950000000000003</v>
      </c>
      <c r="V55">
        <f>IFERROR(VALUE('01_Raw'!G57), "Invalid")</f>
        <v>1</v>
      </c>
      <c r="X55">
        <f>IF(ISBLANK('01_Raw'!H57),"Missing", IFERROR(VALUE(SUBSTITUTE(SUBSTITUTE('01_Raw'!H57,"$",""), ".",",")),"Invalid"))</f>
        <v>40.950000000000003</v>
      </c>
      <c r="Y55">
        <f>IF(LEN(TRIM('01_Raw'!H57)) = 0, "Missing",IFERROR(VALUE(SUBSTITUTE(SUBSTITUTE('01_Raw'!H57,"$",""), ".",",")),"Invalid"))</f>
        <v>40.950000000000003</v>
      </c>
      <c r="AA55">
        <f>IF(LEN(TRIM('01_Raw'!G57)) = 0, "Missing",IFERROR(VALUE(SUBSTITUTE(SUBSTITUTE('01_Raw'!G57,"$",""), ".",",")),"Invalid"))</f>
        <v>1</v>
      </c>
      <c r="AC55">
        <f>COUNTIF($A$2:$A$103,A56)</f>
        <v>1</v>
      </c>
      <c r="AE55">
        <f>COUNTIF(messy_ecommerce_sales_data__2[Order_ID],'01_Raw'!C57)</f>
        <v>1</v>
      </c>
      <c r="AG55">
        <f t="shared" si="1"/>
        <v>40.950000000000003</v>
      </c>
      <c r="AH55" t="str">
        <f>IF(AG55='01_Raw'!K56,"OK","Mismatch")</f>
        <v>Mismatch</v>
      </c>
      <c r="AJ55">
        <f t="shared" si="2"/>
        <v>40.950000000000003</v>
      </c>
      <c r="AK55" t="str">
        <f t="shared" si="3"/>
        <v>OK</v>
      </c>
    </row>
    <row r="56" spans="1:37" x14ac:dyDescent="0.3">
      <c r="A56">
        <f>'01_Raw'!A57</f>
        <v>155</v>
      </c>
      <c r="B56" t="str">
        <f>TRIM('01_Raw'!B57)</f>
        <v>Customer_155</v>
      </c>
      <c r="D56" s="1">
        <f t="shared" si="4"/>
        <v>45778</v>
      </c>
      <c r="E56" t="str">
        <f>TRIM('01_Raw'!E57)</f>
        <v>shoes</v>
      </c>
      <c r="F56" t="str">
        <f>IF(PROPER(TRIM('01_Raw'!F57))="Electronic","Electronics",PROPER(TRIM('01_Raw'!F57)))</f>
        <v>Clothing</v>
      </c>
      <c r="I56" t="str">
        <f>TRIM('01_Raw'!I57)</f>
        <v>PayPal</v>
      </c>
      <c r="J56" t="str">
        <f>TRIM('01_Raw'!J57)</f>
        <v>Returned</v>
      </c>
      <c r="N56" t="b">
        <f>ISNUMBER('01_Raw'!D58)</f>
        <v>0</v>
      </c>
      <c r="P56" t="str">
        <f>LEFT('01_Raw'!D58, FIND("/",'01_Raw'!D58) - 1)</f>
        <v>11</v>
      </c>
      <c r="Q56" t="str">
        <f>IFERROR(RIGHT('01_Raw'!D58,4),"Invalid")</f>
        <v>2024</v>
      </c>
      <c r="R56" t="str">
        <f>MID('01_Raw'!D58,FIND("/",'01_Raw'!D58) + 1,FIND("/",'01_Raw'!D58,FIND("/",'01_Raw'!D58)+1)-FIND("/",'01_Raw'!D58)-1)</f>
        <v>28</v>
      </c>
      <c r="S56" s="1">
        <f t="shared" si="0"/>
        <v>45624</v>
      </c>
      <c r="U56" t="str">
        <f>IFERROR(VALUE(SUBSTITUTE(SUBSTITUTE('01_Raw'!H58,"$",""), ".",",")),"Invalid")</f>
        <v>Invalid</v>
      </c>
      <c r="V56">
        <f>IFERROR(VALUE('01_Raw'!G58), "Invalid")</f>
        <v>2</v>
      </c>
      <c r="X56" t="str">
        <f>IF(ISBLANK('01_Raw'!H58),"Missing", IFERROR(VALUE(SUBSTITUTE(SUBSTITUTE('01_Raw'!H58,"$",""), ".",",")),"Invalid"))</f>
        <v>Invalid</v>
      </c>
      <c r="Y56" t="str">
        <f>IF(LEN(TRIM('01_Raw'!H58)) = 0, "Missing",IFERROR(VALUE(SUBSTITUTE(SUBSTITUTE('01_Raw'!H58,"$",""), ".",",")),"Invalid"))</f>
        <v>Missing</v>
      </c>
      <c r="AA56">
        <f>IF(LEN(TRIM('01_Raw'!G58)) = 0, "Missing",IFERROR(VALUE(SUBSTITUTE(SUBSTITUTE('01_Raw'!G58,"$",""), ".",",")),"Invalid"))</f>
        <v>2</v>
      </c>
      <c r="AC56">
        <f>COUNTIF($A$2:$A$103,A57)</f>
        <v>1</v>
      </c>
      <c r="AE56">
        <f>COUNTIF(messy_ecommerce_sales_data__2[Order_ID],'01_Raw'!C58)</f>
        <v>1</v>
      </c>
      <c r="AG56" t="str">
        <f t="shared" si="1"/>
        <v>Cannot Calculate</v>
      </c>
      <c r="AH56" t="str">
        <f>IF(AG56='01_Raw'!K57,"OK","Mismatch")</f>
        <v>Mismatch</v>
      </c>
      <c r="AJ56" t="str">
        <f t="shared" si="2"/>
        <v>Invalid</v>
      </c>
      <c r="AK56" t="str">
        <f t="shared" si="3"/>
        <v>Mismatch</v>
      </c>
    </row>
    <row r="57" spans="1:37" x14ac:dyDescent="0.3">
      <c r="A57">
        <f>'01_Raw'!A58</f>
        <v>156</v>
      </c>
      <c r="B57" t="str">
        <f>TRIM('01_Raw'!B58)</f>
        <v>Customer_156</v>
      </c>
      <c r="D57" s="1">
        <f t="shared" si="4"/>
        <v>45624</v>
      </c>
      <c r="E57" t="str">
        <f>TRIM('01_Raw'!E58)</f>
        <v>Jeans</v>
      </c>
      <c r="F57" t="str">
        <f>IF(PROPER(TRIM('01_Raw'!F58))="Electronic","Electronics",PROPER(TRIM('01_Raw'!F58)))</f>
        <v>Clothing</v>
      </c>
      <c r="I57" t="str">
        <f>TRIM('01_Raw'!I58)</f>
        <v>Bank Transfer</v>
      </c>
      <c r="J57" t="str">
        <f>TRIM('01_Raw'!J58)</f>
        <v>Shipped</v>
      </c>
      <c r="N57" t="b">
        <f>ISNUMBER('01_Raw'!D59)</f>
        <v>0</v>
      </c>
      <c r="P57" t="str">
        <f>LEFT('01_Raw'!D59, FIND("/",'01_Raw'!D59) - 1)</f>
        <v>11</v>
      </c>
      <c r="Q57" t="str">
        <f>IFERROR(RIGHT('01_Raw'!D59,4),"Invalid")</f>
        <v>2025</v>
      </c>
      <c r="R57" t="str">
        <f>MID('01_Raw'!D59,FIND("/",'01_Raw'!D59) + 1,FIND("/",'01_Raw'!D59,FIND("/",'01_Raw'!D59)+1)-FIND("/",'01_Raw'!D59)-1)</f>
        <v>6</v>
      </c>
      <c r="S57" s="1">
        <f t="shared" si="0"/>
        <v>45967</v>
      </c>
      <c r="U57">
        <f>IFERROR(VALUE(SUBSTITUTE(SUBSTITUTE('01_Raw'!H59,"$",""), ".",",")),"Invalid")</f>
        <v>275.10000000000002</v>
      </c>
      <c r="V57">
        <f>IFERROR(VALUE('01_Raw'!G59), "Invalid")</f>
        <v>4</v>
      </c>
      <c r="X57">
        <f>IF(ISBLANK('01_Raw'!H59),"Missing", IFERROR(VALUE(SUBSTITUTE(SUBSTITUTE('01_Raw'!H59,"$",""), ".",",")),"Invalid"))</f>
        <v>275.10000000000002</v>
      </c>
      <c r="Y57">
        <f>IF(LEN(TRIM('01_Raw'!H59)) = 0, "Missing",IFERROR(VALUE(SUBSTITUTE(SUBSTITUTE('01_Raw'!H59,"$",""), ".",",")),"Invalid"))</f>
        <v>275.10000000000002</v>
      </c>
      <c r="AA57">
        <f>IF(LEN(TRIM('01_Raw'!G59)) = 0, "Missing",IFERROR(VALUE(SUBSTITUTE(SUBSTITUTE('01_Raw'!G59,"$",""), ".",",")),"Invalid"))</f>
        <v>4</v>
      </c>
      <c r="AC57">
        <f>COUNTIF($A$2:$A$103,A58)</f>
        <v>1</v>
      </c>
      <c r="AE57">
        <f>COUNTIF(messy_ecommerce_sales_data__2[Order_ID],'01_Raw'!C59)</f>
        <v>1</v>
      </c>
      <c r="AG57">
        <f t="shared" si="1"/>
        <v>1100.4000000000001</v>
      </c>
      <c r="AH57" t="str">
        <f>IF(AG57='01_Raw'!K58,"OK","Mismatch")</f>
        <v>Mismatch</v>
      </c>
      <c r="AJ57">
        <f t="shared" si="2"/>
        <v>1100.4000000000001</v>
      </c>
      <c r="AK57" t="str">
        <f t="shared" si="3"/>
        <v>OK</v>
      </c>
    </row>
    <row r="58" spans="1:37" x14ac:dyDescent="0.3">
      <c r="A58">
        <f>'01_Raw'!A59</f>
        <v>157</v>
      </c>
      <c r="B58" t="str">
        <f>TRIM('01_Raw'!B59)</f>
        <v>Customer_157</v>
      </c>
      <c r="D58" s="1">
        <f t="shared" si="4"/>
        <v>45967</v>
      </c>
      <c r="E58" t="str">
        <f>TRIM('01_Raw'!E59)</f>
        <v>Jacket</v>
      </c>
      <c r="F58" t="str">
        <f>IF(PROPER(TRIM('01_Raw'!F59))="Electronic","Electronics",PROPER(TRIM('01_Raw'!F59)))</f>
        <v>Clothing</v>
      </c>
      <c r="I58" t="str">
        <f>TRIM('01_Raw'!I59)</f>
        <v>Bank Transfer</v>
      </c>
      <c r="J58" t="str">
        <f>TRIM('01_Raw'!J59)</f>
        <v>Processing</v>
      </c>
      <c r="N58" t="b">
        <f>ISNUMBER('01_Raw'!D60)</f>
        <v>0</v>
      </c>
      <c r="P58" t="str">
        <f>LEFT('01_Raw'!D60, FIND("/",'01_Raw'!D60) - 1)</f>
        <v>4</v>
      </c>
      <c r="Q58" t="str">
        <f>IFERROR(RIGHT('01_Raw'!D60,4),"Invalid")</f>
        <v>2025</v>
      </c>
      <c r="R58" t="str">
        <f>MID('01_Raw'!D60,FIND("/",'01_Raw'!D60) + 1,FIND("/",'01_Raw'!D60,FIND("/",'01_Raw'!D60)+1)-FIND("/",'01_Raw'!D60)-1)</f>
        <v>5</v>
      </c>
      <c r="S58" s="1">
        <f t="shared" si="0"/>
        <v>45752</v>
      </c>
      <c r="U58">
        <f>IFERROR(VALUE(SUBSTITUTE(SUBSTITUTE('01_Raw'!H60,"$",""), ".",",")),"Invalid")</f>
        <v>933.58</v>
      </c>
      <c r="V58">
        <f>IFERROR(VALUE('01_Raw'!G60), "Invalid")</f>
        <v>1</v>
      </c>
      <c r="X58">
        <f>IF(ISBLANK('01_Raw'!H60),"Missing", IFERROR(VALUE(SUBSTITUTE(SUBSTITUTE('01_Raw'!H60,"$",""), ".",",")),"Invalid"))</f>
        <v>933.58</v>
      </c>
      <c r="Y58">
        <f>IF(LEN(TRIM('01_Raw'!H60)) = 0, "Missing",IFERROR(VALUE(SUBSTITUTE(SUBSTITUTE('01_Raw'!H60,"$",""), ".",",")),"Invalid"))</f>
        <v>933.58</v>
      </c>
      <c r="AA58">
        <f>IF(LEN(TRIM('01_Raw'!G60)) = 0, "Missing",IFERROR(VALUE(SUBSTITUTE(SUBSTITUTE('01_Raw'!G60,"$",""), ".",",")),"Invalid"))</f>
        <v>1</v>
      </c>
      <c r="AC58">
        <f>COUNTIF($A$2:$A$103,A59)</f>
        <v>1</v>
      </c>
      <c r="AE58">
        <f>COUNTIF(messy_ecommerce_sales_data__2[Order_ID],'01_Raw'!C60)</f>
        <v>1</v>
      </c>
      <c r="AG58">
        <f t="shared" si="1"/>
        <v>933.58</v>
      </c>
      <c r="AH58" t="str">
        <f>IF(AG58='01_Raw'!K59,"OK","Mismatch")</f>
        <v>Mismatch</v>
      </c>
      <c r="AJ58">
        <f t="shared" si="2"/>
        <v>933.58</v>
      </c>
      <c r="AK58" t="str">
        <f t="shared" si="3"/>
        <v>OK</v>
      </c>
    </row>
    <row r="59" spans="1:37" x14ac:dyDescent="0.3">
      <c r="A59">
        <f>'01_Raw'!A60</f>
        <v>158</v>
      </c>
      <c r="B59" t="str">
        <f>TRIM('01_Raw'!B60)</f>
        <v>Customer_158</v>
      </c>
      <c r="D59" s="1">
        <f t="shared" si="4"/>
        <v>45752</v>
      </c>
      <c r="E59" t="str">
        <f>TRIM('01_Raw'!E60)</f>
        <v>Smartwatch</v>
      </c>
      <c r="F59" t="str">
        <f>IF(PROPER(TRIM('01_Raw'!F60))="Electronic","Electronics",PROPER(TRIM('01_Raw'!F60)))</f>
        <v>Electronics</v>
      </c>
      <c r="I59" t="str">
        <f>TRIM('01_Raw'!I60)</f>
        <v>Cash on Delivery</v>
      </c>
      <c r="J59" t="str">
        <f>TRIM('01_Raw'!J60)</f>
        <v>Shipped</v>
      </c>
      <c r="N59" t="b">
        <f>ISNUMBER('01_Raw'!D61)</f>
        <v>0</v>
      </c>
      <c r="P59" t="str">
        <f>LEFT('01_Raw'!D61, FIND("/",'01_Raw'!D61) - 1)</f>
        <v>7</v>
      </c>
      <c r="Q59" t="str">
        <f>IFERROR(RIGHT('01_Raw'!D61,4),"Invalid")</f>
        <v>2025</v>
      </c>
      <c r="R59" t="str">
        <f>MID('01_Raw'!D61,FIND("/",'01_Raw'!D61) + 1,FIND("/",'01_Raw'!D61,FIND("/",'01_Raw'!D61)+1)-FIND("/",'01_Raw'!D61)-1)</f>
        <v>28</v>
      </c>
      <c r="S59" s="1">
        <f t="shared" si="0"/>
        <v>45866</v>
      </c>
      <c r="U59">
        <f>IFERROR(VALUE(SUBSTITUTE(SUBSTITUTE('01_Raw'!H61,"$",""), ".",",")),"Invalid")</f>
        <v>163.16</v>
      </c>
      <c r="V59">
        <f>IFERROR(VALUE('01_Raw'!G61), "Invalid")</f>
        <v>3</v>
      </c>
      <c r="X59">
        <f>IF(ISBLANK('01_Raw'!H61),"Missing", IFERROR(VALUE(SUBSTITUTE(SUBSTITUTE('01_Raw'!H61,"$",""), ".",",")),"Invalid"))</f>
        <v>163.16</v>
      </c>
      <c r="Y59">
        <f>IF(LEN(TRIM('01_Raw'!H61)) = 0, "Missing",IFERROR(VALUE(SUBSTITUTE(SUBSTITUTE('01_Raw'!H61,"$",""), ".",",")),"Invalid"))</f>
        <v>163.16</v>
      </c>
      <c r="AA59">
        <f>IF(LEN(TRIM('01_Raw'!G61)) = 0, "Missing",IFERROR(VALUE(SUBSTITUTE(SUBSTITUTE('01_Raw'!G61,"$",""), ".",",")),"Invalid"))</f>
        <v>3</v>
      </c>
      <c r="AC59">
        <f>COUNTIF($A$2:$A$103,A60)</f>
        <v>1</v>
      </c>
      <c r="AE59">
        <f>COUNTIF(messy_ecommerce_sales_data__2[Order_ID],'01_Raw'!C61)</f>
        <v>1</v>
      </c>
      <c r="AG59">
        <f t="shared" si="1"/>
        <v>489.48</v>
      </c>
      <c r="AH59" t="str">
        <f>IF(AG59='01_Raw'!K60,"OK","Mismatch")</f>
        <v>Mismatch</v>
      </c>
      <c r="AJ59">
        <f t="shared" si="2"/>
        <v>489.48</v>
      </c>
      <c r="AK59" t="str">
        <f t="shared" si="3"/>
        <v>OK</v>
      </c>
    </row>
    <row r="60" spans="1:37" x14ac:dyDescent="0.3">
      <c r="A60">
        <f>'01_Raw'!A61</f>
        <v>159</v>
      </c>
      <c r="B60" t="str">
        <f>TRIM('01_Raw'!B61)</f>
        <v>Customer_159</v>
      </c>
      <c r="D60" s="1">
        <f t="shared" si="4"/>
        <v>45866</v>
      </c>
      <c r="E60" t="str">
        <f>TRIM('01_Raw'!E61)</f>
        <v>Microwave</v>
      </c>
      <c r="F60" t="str">
        <f>IF(PROPER(TRIM('01_Raw'!F61))="Electronic","Electronics",PROPER(TRIM('01_Raw'!F61)))</f>
        <v>Home</v>
      </c>
      <c r="I60" t="str">
        <f>TRIM('01_Raw'!I61)</f>
        <v>PayPal</v>
      </c>
      <c r="J60" t="str">
        <f>TRIM('01_Raw'!J61)</f>
        <v>Shipped</v>
      </c>
      <c r="N60" t="b">
        <f>ISNUMBER('01_Raw'!D62)</f>
        <v>0</v>
      </c>
      <c r="P60" t="str">
        <f>LEFT('01_Raw'!D62, FIND("/",'01_Raw'!D62) - 1)</f>
        <v>1</v>
      </c>
      <c r="Q60" t="str">
        <f>IFERROR(RIGHT('01_Raw'!D62,4),"Invalid")</f>
        <v>2025</v>
      </c>
      <c r="R60" t="str">
        <f>MID('01_Raw'!D62,FIND("/",'01_Raw'!D62) + 1,FIND("/",'01_Raw'!D62,FIND("/",'01_Raw'!D62)+1)-FIND("/",'01_Raw'!D62)-1)</f>
        <v>3</v>
      </c>
      <c r="S60" s="1">
        <f t="shared" si="0"/>
        <v>45660</v>
      </c>
      <c r="U60">
        <f>IFERROR(VALUE(SUBSTITUTE(SUBSTITUTE('01_Raw'!H62,"$",""), ".",",")),"Invalid")</f>
        <v>242.52</v>
      </c>
      <c r="V60">
        <f>IFERROR(VALUE('01_Raw'!G62), "Invalid")</f>
        <v>5</v>
      </c>
      <c r="X60">
        <f>IF(ISBLANK('01_Raw'!H62),"Missing", IFERROR(VALUE(SUBSTITUTE(SUBSTITUTE('01_Raw'!H62,"$",""), ".",",")),"Invalid"))</f>
        <v>242.52</v>
      </c>
      <c r="Y60">
        <f>IF(LEN(TRIM('01_Raw'!H62)) = 0, "Missing",IFERROR(VALUE(SUBSTITUTE(SUBSTITUTE('01_Raw'!H62,"$",""), ".",",")),"Invalid"))</f>
        <v>242.52</v>
      </c>
      <c r="AA60">
        <f>IF(LEN(TRIM('01_Raw'!G62)) = 0, "Missing",IFERROR(VALUE(SUBSTITUTE(SUBSTITUTE('01_Raw'!G62,"$",""), ".",",")),"Invalid"))</f>
        <v>5</v>
      </c>
      <c r="AC60">
        <f>COUNTIF($A$2:$A$103,A61)</f>
        <v>1</v>
      </c>
      <c r="AE60">
        <f>COUNTIF(messy_ecommerce_sales_data__2[Order_ID],'01_Raw'!C62)</f>
        <v>1</v>
      </c>
      <c r="AG60">
        <f t="shared" si="1"/>
        <v>1212.6000000000001</v>
      </c>
      <c r="AH60" t="str">
        <f>IF(AG60='01_Raw'!K61,"OK","Mismatch")</f>
        <v>Mismatch</v>
      </c>
      <c r="AJ60">
        <f t="shared" si="2"/>
        <v>1212.5999999999999</v>
      </c>
      <c r="AK60" t="str">
        <f t="shared" si="3"/>
        <v>OK</v>
      </c>
    </row>
    <row r="61" spans="1:37" x14ac:dyDescent="0.3">
      <c r="A61">
        <f>'01_Raw'!A62</f>
        <v>160</v>
      </c>
      <c r="B61" t="str">
        <f>TRIM('01_Raw'!B62)</f>
        <v>Customer_160</v>
      </c>
      <c r="D61" s="1">
        <f t="shared" si="4"/>
        <v>45660</v>
      </c>
      <c r="E61" t="str">
        <f>TRIM('01_Raw'!E62)</f>
        <v>Science</v>
      </c>
      <c r="F61" t="str">
        <f>IF(PROPER(TRIM('01_Raw'!F62))="Electronic","Electronics",PROPER(TRIM('01_Raw'!F62)))</f>
        <v>Books</v>
      </c>
      <c r="I61" t="str">
        <f>TRIM('01_Raw'!I62)</f>
        <v>Cash on Delivery</v>
      </c>
      <c r="J61" t="str">
        <f>TRIM('01_Raw'!J62)</f>
        <v>Returned</v>
      </c>
      <c r="N61" t="b">
        <f>ISNUMBER('01_Raw'!D63)</f>
        <v>0</v>
      </c>
      <c r="P61" t="str">
        <f>LEFT('01_Raw'!D63, FIND("/",'01_Raw'!D63) - 1)</f>
        <v>12</v>
      </c>
      <c r="Q61" t="str">
        <f>IFERROR(RIGHT('01_Raw'!D63,4),"Invalid")</f>
        <v>2024</v>
      </c>
      <c r="R61" t="str">
        <f>MID('01_Raw'!D63,FIND("/",'01_Raw'!D63) + 1,FIND("/",'01_Raw'!D63,FIND("/",'01_Raw'!D63)+1)-FIND("/",'01_Raw'!D63)-1)</f>
        <v>15</v>
      </c>
      <c r="S61" s="1">
        <f t="shared" si="0"/>
        <v>45641</v>
      </c>
      <c r="U61">
        <f>IFERROR(VALUE(SUBSTITUTE(SUBSTITUTE('01_Raw'!H63,"$",""), ".",",")),"Invalid")</f>
        <v>209.32</v>
      </c>
      <c r="V61">
        <f>IFERROR(VALUE('01_Raw'!G63), "Invalid")</f>
        <v>4</v>
      </c>
      <c r="X61">
        <f>IF(ISBLANK('01_Raw'!H63),"Missing", IFERROR(VALUE(SUBSTITUTE(SUBSTITUTE('01_Raw'!H63,"$",""), ".",",")),"Invalid"))</f>
        <v>209.32</v>
      </c>
      <c r="Y61">
        <f>IF(LEN(TRIM('01_Raw'!H63)) = 0, "Missing",IFERROR(VALUE(SUBSTITUTE(SUBSTITUTE('01_Raw'!H63,"$",""), ".",",")),"Invalid"))</f>
        <v>209.32</v>
      </c>
      <c r="AA61">
        <f>IF(LEN(TRIM('01_Raw'!G63)) = 0, "Missing",IFERROR(VALUE(SUBSTITUTE(SUBSTITUTE('01_Raw'!G63,"$",""), ".",",")),"Invalid"))</f>
        <v>4</v>
      </c>
      <c r="AC61">
        <f>COUNTIF($A$2:$A$103,A62)</f>
        <v>1</v>
      </c>
      <c r="AE61">
        <f>COUNTIF(messy_ecommerce_sales_data__2[Order_ID],'01_Raw'!C63)</f>
        <v>1</v>
      </c>
      <c r="AG61">
        <f t="shared" si="1"/>
        <v>837.28</v>
      </c>
      <c r="AH61" t="str">
        <f>IF(AG61='01_Raw'!K62,"OK","Mismatch")</f>
        <v>Mismatch</v>
      </c>
      <c r="AJ61">
        <f t="shared" si="2"/>
        <v>837.28</v>
      </c>
      <c r="AK61" t="str">
        <f t="shared" si="3"/>
        <v>OK</v>
      </c>
    </row>
    <row r="62" spans="1:37" x14ac:dyDescent="0.3">
      <c r="A62">
        <f>'01_Raw'!A63</f>
        <v>161</v>
      </c>
      <c r="B62" t="str">
        <f>TRIM('01_Raw'!B63)</f>
        <v>Customer_161</v>
      </c>
      <c r="D62" s="1">
        <f t="shared" si="4"/>
        <v>45641</v>
      </c>
      <c r="E62" t="str">
        <f>TRIM('01_Raw'!E63)</f>
        <v>Science</v>
      </c>
      <c r="F62" t="str">
        <f>IF(PROPER(TRIM('01_Raw'!F63))="Electronic","Electronics",PROPER(TRIM('01_Raw'!F63)))</f>
        <v>Books</v>
      </c>
      <c r="I62" t="str">
        <f>TRIM('01_Raw'!I63)</f>
        <v>Bank Transfer</v>
      </c>
      <c r="J62" t="str">
        <f>TRIM('01_Raw'!J63)</f>
        <v>Shipped</v>
      </c>
      <c r="N62" t="b">
        <f>ISNUMBER('01_Raw'!D64)</f>
        <v>0</v>
      </c>
      <c r="P62" t="str">
        <f>LEFT('01_Raw'!D64, FIND("/",'01_Raw'!D64) - 1)</f>
        <v>5</v>
      </c>
      <c r="Q62" t="str">
        <f>IFERROR(RIGHT('01_Raw'!D64,4),"Invalid")</f>
        <v>2025</v>
      </c>
      <c r="R62" t="str">
        <f>MID('01_Raw'!D64,FIND("/",'01_Raw'!D64) + 1,FIND("/",'01_Raw'!D64,FIND("/",'01_Raw'!D64)+1)-FIND("/",'01_Raw'!D64)-1)</f>
        <v>19</v>
      </c>
      <c r="S62" s="1">
        <f t="shared" si="0"/>
        <v>45796</v>
      </c>
      <c r="U62">
        <f>IFERROR(VALUE(SUBSTITUTE(SUBSTITUTE('01_Raw'!H64,"$",""), ".",",")),"Invalid")</f>
        <v>155.76</v>
      </c>
      <c r="V62">
        <f>IFERROR(VALUE('01_Raw'!G64), "Invalid")</f>
        <v>2</v>
      </c>
      <c r="X62">
        <f>IF(ISBLANK('01_Raw'!H64),"Missing", IFERROR(VALUE(SUBSTITUTE(SUBSTITUTE('01_Raw'!H64,"$",""), ".",",")),"Invalid"))</f>
        <v>155.76</v>
      </c>
      <c r="Y62">
        <f>IF(LEN(TRIM('01_Raw'!H64)) = 0, "Missing",IFERROR(VALUE(SUBSTITUTE(SUBSTITUTE('01_Raw'!H64,"$",""), ".",",")),"Invalid"))</f>
        <v>155.76</v>
      </c>
      <c r="AA62">
        <f>IF(LEN(TRIM('01_Raw'!G64)) = 0, "Missing",IFERROR(VALUE(SUBSTITUTE(SUBSTITUTE('01_Raw'!G64,"$",""), ".",",")),"Invalid"))</f>
        <v>2</v>
      </c>
      <c r="AC62">
        <f>COUNTIF($A$2:$A$103,A63)</f>
        <v>1</v>
      </c>
      <c r="AE62">
        <f>COUNTIF(messy_ecommerce_sales_data__2[Order_ID],'01_Raw'!C64)</f>
        <v>1</v>
      </c>
      <c r="AG62">
        <f t="shared" si="1"/>
        <v>311.52</v>
      </c>
      <c r="AH62" t="str">
        <f>IF(AG62='01_Raw'!K63,"OK","Mismatch")</f>
        <v>Mismatch</v>
      </c>
      <c r="AJ62">
        <f t="shared" si="2"/>
        <v>311.52</v>
      </c>
      <c r="AK62" t="str">
        <f t="shared" si="3"/>
        <v>OK</v>
      </c>
    </row>
    <row r="63" spans="1:37" x14ac:dyDescent="0.3">
      <c r="A63">
        <f>'01_Raw'!A64</f>
        <v>162</v>
      </c>
      <c r="B63" t="str">
        <f>TRIM('01_Raw'!B64)</f>
        <v>Customer_162</v>
      </c>
      <c r="D63" s="1">
        <f t="shared" si="4"/>
        <v>45796</v>
      </c>
      <c r="E63" t="str">
        <f>TRIM('01_Raw'!E64)</f>
        <v>Blender</v>
      </c>
      <c r="F63" t="str">
        <f>IF(PROPER(TRIM('01_Raw'!F64))="Electronic","Electronics",PROPER(TRIM('01_Raw'!F64)))</f>
        <v>Home</v>
      </c>
      <c r="I63" t="str">
        <f>TRIM('01_Raw'!I64)</f>
        <v>Credit Card</v>
      </c>
      <c r="J63" t="str">
        <f>TRIM('01_Raw'!J64)</f>
        <v>Returned</v>
      </c>
      <c r="N63" t="b">
        <f>ISNUMBER('01_Raw'!D65)</f>
        <v>0</v>
      </c>
      <c r="P63" t="str">
        <f>LEFT('01_Raw'!D65, FIND("/",'01_Raw'!D65) - 1)</f>
        <v>1</v>
      </c>
      <c r="Q63" t="str">
        <f>IFERROR(RIGHT('01_Raw'!D65,4),"Invalid")</f>
        <v>2023</v>
      </c>
      <c r="R63" t="str">
        <f>MID('01_Raw'!D65,FIND("/",'01_Raw'!D65) + 1,FIND("/",'01_Raw'!D65,FIND("/",'01_Raw'!D65)+1)-FIND("/",'01_Raw'!D65)-1)</f>
        <v>5</v>
      </c>
      <c r="S63" s="1">
        <f t="shared" si="0"/>
        <v>44931</v>
      </c>
      <c r="U63">
        <f>IFERROR(VALUE(SUBSTITUTE(SUBSTITUTE('01_Raw'!H65,"$",""), ".",",")),"Invalid")</f>
        <v>235.26</v>
      </c>
      <c r="V63">
        <f>IFERROR(VALUE('01_Raw'!G65), "Invalid")</f>
        <v>3</v>
      </c>
      <c r="X63">
        <f>IF(ISBLANK('01_Raw'!H65),"Missing", IFERROR(VALUE(SUBSTITUTE(SUBSTITUTE('01_Raw'!H65,"$",""), ".",",")),"Invalid"))</f>
        <v>235.26</v>
      </c>
      <c r="Y63">
        <f>IF(LEN(TRIM('01_Raw'!H65)) = 0, "Missing",IFERROR(VALUE(SUBSTITUTE(SUBSTITUTE('01_Raw'!H65,"$",""), ".",",")),"Invalid"))</f>
        <v>235.26</v>
      </c>
      <c r="AA63">
        <f>IF(LEN(TRIM('01_Raw'!G65)) = 0, "Missing",IFERROR(VALUE(SUBSTITUTE(SUBSTITUTE('01_Raw'!G65,"$",""), ".",",")),"Invalid"))</f>
        <v>3</v>
      </c>
      <c r="AC63">
        <f>COUNTIF($A$2:$A$103,A64)</f>
        <v>1</v>
      </c>
      <c r="AE63">
        <f>COUNTIF(messy_ecommerce_sales_data__2[Order_ID],'01_Raw'!C65)</f>
        <v>1</v>
      </c>
      <c r="AG63">
        <f t="shared" si="1"/>
        <v>705.78</v>
      </c>
      <c r="AH63" t="str">
        <f>IF(AG63='01_Raw'!K64,"OK","Mismatch")</f>
        <v>Mismatch</v>
      </c>
      <c r="AJ63">
        <f t="shared" si="2"/>
        <v>705.78</v>
      </c>
      <c r="AK63" t="str">
        <f t="shared" si="3"/>
        <v>OK</v>
      </c>
    </row>
    <row r="64" spans="1:37" x14ac:dyDescent="0.3">
      <c r="A64">
        <f>'01_Raw'!A65</f>
        <v>163</v>
      </c>
      <c r="B64" t="str">
        <f>TRIM('01_Raw'!B65)</f>
        <v>Customer_163</v>
      </c>
      <c r="D64" s="1">
        <f t="shared" si="4"/>
        <v>44931</v>
      </c>
      <c r="E64" t="str">
        <f>TRIM('01_Raw'!E65)</f>
        <v>Smartwatch</v>
      </c>
      <c r="F64" t="str">
        <f>IF(PROPER(TRIM('01_Raw'!F65))="Electronic","Electronics",PROPER(TRIM('01_Raw'!F65)))</f>
        <v>Electronics</v>
      </c>
      <c r="I64" t="str">
        <f>TRIM('01_Raw'!I65)</f>
        <v>Cash on Delivery</v>
      </c>
      <c r="J64" t="str">
        <f>TRIM('01_Raw'!J65)</f>
        <v>Shipped</v>
      </c>
      <c r="N64" t="b">
        <f>ISNUMBER('01_Raw'!D66)</f>
        <v>0</v>
      </c>
      <c r="P64" t="str">
        <f>LEFT('01_Raw'!D66, FIND("/",'01_Raw'!D66) - 1)</f>
        <v>2</v>
      </c>
      <c r="Q64" t="str">
        <f>IFERROR(RIGHT('01_Raw'!D66,4),"Invalid")</f>
        <v>2025</v>
      </c>
      <c r="R64" t="str">
        <f>MID('01_Raw'!D66,FIND("/",'01_Raw'!D66) + 1,FIND("/",'01_Raw'!D66,FIND("/",'01_Raw'!D66)+1)-FIND("/",'01_Raw'!D66)-1)</f>
        <v>9</v>
      </c>
      <c r="S64" s="1">
        <f t="shared" si="0"/>
        <v>45697</v>
      </c>
      <c r="U64">
        <f>IFERROR(VALUE(SUBSTITUTE(SUBSTITUTE('01_Raw'!H66,"$",""), ".",",")),"Invalid")</f>
        <v>587.64</v>
      </c>
      <c r="V64" t="str">
        <f>IFERROR(VALUE('01_Raw'!G66), "Invalid")</f>
        <v>Invalid</v>
      </c>
      <c r="X64">
        <f>IF(ISBLANK('01_Raw'!H66),"Missing", IFERROR(VALUE(SUBSTITUTE(SUBSTITUTE('01_Raw'!H66,"$",""), ".",",")),"Invalid"))</f>
        <v>587.64</v>
      </c>
      <c r="Y64">
        <f>IF(LEN(TRIM('01_Raw'!H66)) = 0, "Missing",IFERROR(VALUE(SUBSTITUTE(SUBSTITUTE('01_Raw'!H66,"$",""), ".",",")),"Invalid"))</f>
        <v>587.64</v>
      </c>
      <c r="AA64" t="str">
        <f>IF(LEN(TRIM('01_Raw'!G66)) = 0, "Missing",IFERROR(VALUE(SUBSTITUTE(SUBSTITUTE('01_Raw'!G66,"$",""), ".",",")),"Invalid"))</f>
        <v>Missing</v>
      </c>
      <c r="AC64">
        <f>COUNTIF($A$2:$A$103,A65)</f>
        <v>1</v>
      </c>
      <c r="AE64">
        <f>COUNTIF(messy_ecommerce_sales_data__2[Order_ID],'01_Raw'!C66)</f>
        <v>1</v>
      </c>
      <c r="AG64" t="str">
        <f t="shared" si="1"/>
        <v>Cannot Calculate</v>
      </c>
      <c r="AH64" t="str">
        <f>IF(AG64='01_Raw'!K65,"OK","Mismatch")</f>
        <v>Mismatch</v>
      </c>
      <c r="AJ64" t="str">
        <f t="shared" si="2"/>
        <v>Invalid</v>
      </c>
      <c r="AK64" t="str">
        <f t="shared" si="3"/>
        <v>Mismatch</v>
      </c>
    </row>
    <row r="65" spans="1:37" x14ac:dyDescent="0.3">
      <c r="A65">
        <f>'01_Raw'!A66</f>
        <v>164</v>
      </c>
      <c r="B65" t="str">
        <f>TRIM('01_Raw'!B66)</f>
        <v>Customer_164</v>
      </c>
      <c r="D65" s="1">
        <f t="shared" si="4"/>
        <v>45697</v>
      </c>
      <c r="E65" t="str">
        <f>TRIM('01_Raw'!E66)</f>
        <v>Tennis Racket</v>
      </c>
      <c r="F65" t="str">
        <f>IF(PROPER(TRIM('01_Raw'!F66))="Electronic","Electronics",PROPER(TRIM('01_Raw'!F66)))</f>
        <v>Sports</v>
      </c>
      <c r="I65" t="str">
        <f>TRIM('01_Raw'!I66)</f>
        <v>Credit Card</v>
      </c>
      <c r="J65" t="str">
        <f>TRIM('01_Raw'!J66)</f>
        <v>Returned</v>
      </c>
      <c r="N65" t="b">
        <f>ISNUMBER('01_Raw'!D67)</f>
        <v>0</v>
      </c>
      <c r="P65" t="str">
        <f>LEFT('01_Raw'!D67, FIND("/",'01_Raw'!D67) - 1)</f>
        <v>11</v>
      </c>
      <c r="Q65" t="str">
        <f>IFERROR(RIGHT('01_Raw'!D67,4),"Invalid")</f>
        <v>2024</v>
      </c>
      <c r="R65" t="str">
        <f>MID('01_Raw'!D67,FIND("/",'01_Raw'!D67) + 1,FIND("/",'01_Raw'!D67,FIND("/",'01_Raw'!D67)+1)-FIND("/",'01_Raw'!D67)-1)</f>
        <v>8</v>
      </c>
      <c r="S65" s="1">
        <f t="shared" ref="S65:S103" si="5">IFERROR(DATE(Q65,P65,R65),"Invalid")</f>
        <v>45604</v>
      </c>
      <c r="U65">
        <f>IFERROR(VALUE(SUBSTITUTE(SUBSTITUTE('01_Raw'!H67,"$",""), ".",",")),"Invalid")</f>
        <v>443.13</v>
      </c>
      <c r="V65">
        <f>IFERROR(VALUE('01_Raw'!G67), "Invalid")</f>
        <v>2</v>
      </c>
      <c r="X65">
        <f>IF(ISBLANK('01_Raw'!H67),"Missing", IFERROR(VALUE(SUBSTITUTE(SUBSTITUTE('01_Raw'!H67,"$",""), ".",",")),"Invalid"))</f>
        <v>443.13</v>
      </c>
      <c r="Y65">
        <f>IF(LEN(TRIM('01_Raw'!H67)) = 0, "Missing",IFERROR(VALUE(SUBSTITUTE(SUBSTITUTE('01_Raw'!H67,"$",""), ".",",")),"Invalid"))</f>
        <v>443.13</v>
      </c>
      <c r="AA65">
        <f>IF(LEN(TRIM('01_Raw'!G67)) = 0, "Missing",IFERROR(VALUE(SUBSTITUTE(SUBSTITUTE('01_Raw'!G67,"$",""), ".",",")),"Invalid"))</f>
        <v>2</v>
      </c>
      <c r="AC65">
        <f>COUNTIF($A$2:$A$103,A66)</f>
        <v>1</v>
      </c>
      <c r="AE65">
        <f>COUNTIF(messy_ecommerce_sales_data__2[Order_ID],'01_Raw'!C67)</f>
        <v>1</v>
      </c>
      <c r="AG65">
        <f t="shared" si="1"/>
        <v>886.26</v>
      </c>
      <c r="AH65" t="str">
        <f>IF(AG65='01_Raw'!K66,"OK","Mismatch")</f>
        <v>Mismatch</v>
      </c>
      <c r="AJ65">
        <f t="shared" si="2"/>
        <v>886.26</v>
      </c>
      <c r="AK65" t="str">
        <f t="shared" si="3"/>
        <v>OK</v>
      </c>
    </row>
    <row r="66" spans="1:37" x14ac:dyDescent="0.3">
      <c r="A66">
        <f>'01_Raw'!A67</f>
        <v>165</v>
      </c>
      <c r="B66" t="str">
        <f>TRIM('01_Raw'!B67)</f>
        <v>Customer_165</v>
      </c>
      <c r="D66" s="1">
        <f t="shared" si="4"/>
        <v>45604</v>
      </c>
      <c r="E66" t="str">
        <f>TRIM('01_Raw'!E67)</f>
        <v>Shoes</v>
      </c>
      <c r="F66" t="str">
        <f>IF(PROPER(TRIM('01_Raw'!F67))="Electronic","Electronics",PROPER(TRIM('01_Raw'!F67)))</f>
        <v>Clothing</v>
      </c>
      <c r="I66" t="str">
        <f>TRIM('01_Raw'!I67)</f>
        <v>Credit Card</v>
      </c>
      <c r="J66" t="str">
        <f>TRIM('01_Raw'!J67)</f>
        <v>Delivered</v>
      </c>
      <c r="N66" t="b">
        <f>ISNUMBER('01_Raw'!D68)</f>
        <v>0</v>
      </c>
      <c r="P66" t="str">
        <f>LEFT('01_Raw'!D68, FIND("/",'01_Raw'!D68) - 1)</f>
        <v>7</v>
      </c>
      <c r="Q66" t="str">
        <f>IFERROR(RIGHT('01_Raw'!D68,4),"Invalid")</f>
        <v>2025</v>
      </c>
      <c r="R66" t="str">
        <f>MID('01_Raw'!D68,FIND("/",'01_Raw'!D68) + 1,FIND("/",'01_Raw'!D68,FIND("/",'01_Raw'!D68)+1)-FIND("/",'01_Raw'!D68)-1)</f>
        <v>3</v>
      </c>
      <c r="S66" s="1">
        <f t="shared" si="5"/>
        <v>45841</v>
      </c>
      <c r="U66">
        <f>IFERROR(VALUE(SUBSTITUTE(SUBSTITUTE('01_Raw'!H68,"$",""), ".",",")),"Invalid")</f>
        <v>569.38</v>
      </c>
      <c r="V66">
        <f>IFERROR(VALUE('01_Raw'!G68), "Invalid")</f>
        <v>2</v>
      </c>
      <c r="X66">
        <f>IF(ISBLANK('01_Raw'!H68),"Missing", IFERROR(VALUE(SUBSTITUTE(SUBSTITUTE('01_Raw'!H68,"$",""), ".",",")),"Invalid"))</f>
        <v>569.38</v>
      </c>
      <c r="Y66">
        <f>IF(LEN(TRIM('01_Raw'!H68)) = 0, "Missing",IFERROR(VALUE(SUBSTITUTE(SUBSTITUTE('01_Raw'!H68,"$",""), ".",",")),"Invalid"))</f>
        <v>569.38</v>
      </c>
      <c r="AA66">
        <f>IF(LEN(TRIM('01_Raw'!G68)) = 0, "Missing",IFERROR(VALUE(SUBSTITUTE(SUBSTITUTE('01_Raw'!G68,"$",""), ".",",")),"Invalid"))</f>
        <v>2</v>
      </c>
      <c r="AC66">
        <f>COUNTIF($A$2:$A$103,A67)</f>
        <v>1</v>
      </c>
      <c r="AE66">
        <f>COUNTIF(messy_ecommerce_sales_data__2[Order_ID],'01_Raw'!C68)</f>
        <v>1</v>
      </c>
      <c r="AG66">
        <f t="shared" ref="AG66:AG102" si="6">IFERROR(AA66*Y66,"Cannot Calculate")</f>
        <v>1138.76</v>
      </c>
      <c r="AH66" t="str">
        <f>IF(AG66='01_Raw'!K67,"OK","Mismatch")</f>
        <v>Mismatch</v>
      </c>
      <c r="AJ66">
        <f t="shared" ref="AJ66:AJ102" si="7">IF(LEN(TRIM(AG66)) = 0, "Missing",IFERROR(VALUE(SUBSTITUTE(SUBSTITUTE(AG66,"$",""), ".",",")),"Invalid"))</f>
        <v>1138.76</v>
      </c>
      <c r="AK66" t="str">
        <f t="shared" ref="AK66:AK102" si="8">IF(AJ66=AG66,"OK","Mismatch")</f>
        <v>OK</v>
      </c>
    </row>
    <row r="67" spans="1:37" x14ac:dyDescent="0.3">
      <c r="A67">
        <f>'01_Raw'!A68</f>
        <v>166</v>
      </c>
      <c r="B67" t="str">
        <f>TRIM('01_Raw'!B68)</f>
        <v>Customer_166</v>
      </c>
      <c r="D67" s="1">
        <f t="shared" ref="D67:D102" si="9">IFERROR(DATE(Q66,P66,R66),"Invalid")</f>
        <v>45841</v>
      </c>
      <c r="E67" t="str">
        <f>TRIM('01_Raw'!E68)</f>
        <v>T-shirt</v>
      </c>
      <c r="F67" t="str">
        <f>IF(PROPER(TRIM('01_Raw'!F68))="Electronic","Electronics",PROPER(TRIM('01_Raw'!F68)))</f>
        <v>Electronics</v>
      </c>
      <c r="I67" t="str">
        <f>TRIM('01_Raw'!I68)</f>
        <v>Cash on Delivery</v>
      </c>
      <c r="J67" t="str">
        <f>TRIM('01_Raw'!J68)</f>
        <v>Shipped</v>
      </c>
      <c r="N67" t="b">
        <f>ISNUMBER('01_Raw'!D69)</f>
        <v>0</v>
      </c>
      <c r="P67" t="str">
        <f>LEFT('01_Raw'!D69, FIND("/",'01_Raw'!D69) - 1)</f>
        <v>8</v>
      </c>
      <c r="Q67" t="str">
        <f>IFERROR(RIGHT('01_Raw'!D69,4),"Invalid")</f>
        <v>2025</v>
      </c>
      <c r="R67" t="str">
        <f>MID('01_Raw'!D69,FIND("/",'01_Raw'!D69) + 1,FIND("/",'01_Raw'!D69,FIND("/",'01_Raw'!D69)+1)-FIND("/",'01_Raw'!D69)-1)</f>
        <v>7</v>
      </c>
      <c r="S67" s="1">
        <f t="shared" si="5"/>
        <v>45876</v>
      </c>
      <c r="U67">
        <f>IFERROR(VALUE(SUBSTITUTE(SUBSTITUTE('01_Raw'!H69,"$",""), ".",",")),"Invalid")</f>
        <v>593.92999999999995</v>
      </c>
      <c r="V67" t="str">
        <f>IFERROR(VALUE('01_Raw'!G69), "Invalid")</f>
        <v>Invalid</v>
      </c>
      <c r="X67">
        <f>IF(ISBLANK('01_Raw'!H69),"Missing", IFERROR(VALUE(SUBSTITUTE(SUBSTITUTE('01_Raw'!H69,"$",""), ".",",")),"Invalid"))</f>
        <v>593.92999999999995</v>
      </c>
      <c r="Y67">
        <f>IF(LEN(TRIM('01_Raw'!H69)) = 0, "Missing",IFERROR(VALUE(SUBSTITUTE(SUBSTITUTE('01_Raw'!H69,"$",""), ".",",")),"Invalid"))</f>
        <v>593.92999999999995</v>
      </c>
      <c r="AA67" t="str">
        <f>IF(LEN(TRIM('01_Raw'!G69)) = 0, "Missing",IFERROR(VALUE(SUBSTITUTE(SUBSTITUTE('01_Raw'!G69,"$",""), ".",",")),"Invalid"))</f>
        <v>Missing</v>
      </c>
      <c r="AC67">
        <f>COUNTIF($A$2:$A$103,A68)</f>
        <v>1</v>
      </c>
      <c r="AE67">
        <f>COUNTIF(messy_ecommerce_sales_data__2[Order_ID],'01_Raw'!C69)</f>
        <v>1</v>
      </c>
      <c r="AG67" t="str">
        <f t="shared" si="6"/>
        <v>Cannot Calculate</v>
      </c>
      <c r="AH67" t="str">
        <f>IF(AG67='01_Raw'!K68,"OK","Mismatch")</f>
        <v>Mismatch</v>
      </c>
      <c r="AJ67" t="str">
        <f t="shared" si="7"/>
        <v>Invalid</v>
      </c>
      <c r="AK67" t="str">
        <f t="shared" si="8"/>
        <v>Mismatch</v>
      </c>
    </row>
    <row r="68" spans="1:37" x14ac:dyDescent="0.3">
      <c r="A68">
        <f>'01_Raw'!A69</f>
        <v>167</v>
      </c>
      <c r="B68" t="str">
        <f>TRIM('01_Raw'!B69)</f>
        <v>Customer_167</v>
      </c>
      <c r="D68" s="1">
        <f t="shared" si="9"/>
        <v>45876</v>
      </c>
      <c r="E68" t="str">
        <f>TRIM('01_Raw'!E69)</f>
        <v>Basketball</v>
      </c>
      <c r="F68" t="str">
        <f>IF(PROPER(TRIM('01_Raw'!F69))="Electronic","Electronics",PROPER(TRIM('01_Raw'!F69)))</f>
        <v>Sports</v>
      </c>
      <c r="I68" t="str">
        <f>TRIM('01_Raw'!I69)</f>
        <v>Cash on Delivery</v>
      </c>
      <c r="J68" t="str">
        <f>TRIM('01_Raw'!J69)</f>
        <v>Processing</v>
      </c>
      <c r="N68" t="b">
        <f>ISNUMBER('01_Raw'!D70)</f>
        <v>0</v>
      </c>
      <c r="P68" t="str">
        <f>LEFT('01_Raw'!D70, FIND("/",'01_Raw'!D70) - 1)</f>
        <v>11</v>
      </c>
      <c r="Q68" t="str">
        <f>IFERROR(RIGHT('01_Raw'!D70,4),"Invalid")</f>
        <v>2025</v>
      </c>
      <c r="R68" t="str">
        <f>MID('01_Raw'!D70,FIND("/",'01_Raw'!D70) + 1,FIND("/",'01_Raw'!D70,FIND("/",'01_Raw'!D70)+1)-FIND("/",'01_Raw'!D70)-1)</f>
        <v>4</v>
      </c>
      <c r="S68" s="1">
        <f t="shared" si="5"/>
        <v>45965</v>
      </c>
      <c r="U68">
        <f>IFERROR(VALUE(SUBSTITUTE(SUBSTITUTE('01_Raw'!H70,"$",""), ".",",")),"Invalid")</f>
        <v>141.49</v>
      </c>
      <c r="V68">
        <f>IFERROR(VALUE('01_Raw'!G70), "Invalid")</f>
        <v>2</v>
      </c>
      <c r="X68">
        <f>IF(ISBLANK('01_Raw'!H70),"Missing", IFERROR(VALUE(SUBSTITUTE(SUBSTITUTE('01_Raw'!H70,"$",""), ".",",")),"Invalid"))</f>
        <v>141.49</v>
      </c>
      <c r="Y68">
        <f>IF(LEN(TRIM('01_Raw'!H70)) = 0, "Missing",IFERROR(VALUE(SUBSTITUTE(SUBSTITUTE('01_Raw'!H70,"$",""), ".",",")),"Invalid"))</f>
        <v>141.49</v>
      </c>
      <c r="AA68">
        <f>IF(LEN(TRIM('01_Raw'!G70)) = 0, "Missing",IFERROR(VALUE(SUBSTITUTE(SUBSTITUTE('01_Raw'!G70,"$",""), ".",",")),"Invalid"))</f>
        <v>2</v>
      </c>
      <c r="AC68">
        <f>COUNTIF($A$2:$A$103,A69)</f>
        <v>1</v>
      </c>
      <c r="AE68">
        <f>COUNTIF(messy_ecommerce_sales_data__2[Order_ID],'01_Raw'!C70)</f>
        <v>1</v>
      </c>
      <c r="AG68">
        <f t="shared" si="6"/>
        <v>282.98</v>
      </c>
      <c r="AH68" t="str">
        <f>IF(AG68='01_Raw'!K69,"OK","Mismatch")</f>
        <v>Mismatch</v>
      </c>
      <c r="AJ68">
        <f t="shared" si="7"/>
        <v>282.98</v>
      </c>
      <c r="AK68" t="str">
        <f t="shared" si="8"/>
        <v>OK</v>
      </c>
    </row>
    <row r="69" spans="1:37" x14ac:dyDescent="0.3">
      <c r="A69">
        <f>'01_Raw'!A70</f>
        <v>168</v>
      </c>
      <c r="B69" t="str">
        <f>TRIM('01_Raw'!B70)</f>
        <v>Customer_168</v>
      </c>
      <c r="D69" s="1">
        <f t="shared" si="9"/>
        <v>45965</v>
      </c>
      <c r="E69" t="str">
        <f>TRIM('01_Raw'!E70)</f>
        <v>Biography</v>
      </c>
      <c r="F69" t="str">
        <f>IF(PROPER(TRIM('01_Raw'!F70))="Electronic","Electronics",PROPER(TRIM('01_Raw'!F70)))</f>
        <v>Books</v>
      </c>
      <c r="I69" t="str">
        <f>TRIM('01_Raw'!I70)</f>
        <v>PayPal</v>
      </c>
      <c r="J69" t="str">
        <f>TRIM('01_Raw'!J70)</f>
        <v>Cancelled</v>
      </c>
      <c r="N69" t="b">
        <f>ISNUMBER('01_Raw'!D71)</f>
        <v>0</v>
      </c>
      <c r="P69" t="str">
        <f>LEFT('01_Raw'!D71, FIND("/",'01_Raw'!D71) - 1)</f>
        <v>8</v>
      </c>
      <c r="Q69" t="str">
        <f>IFERROR(RIGHT('01_Raw'!D71,4),"Invalid")</f>
        <v>2025</v>
      </c>
      <c r="R69" t="str">
        <f>MID('01_Raw'!D71,FIND("/",'01_Raw'!D71) + 1,FIND("/",'01_Raw'!D71,FIND("/",'01_Raw'!D71)+1)-FIND("/",'01_Raw'!D71)-1)</f>
        <v>12</v>
      </c>
      <c r="S69" s="1">
        <f t="shared" si="5"/>
        <v>45881</v>
      </c>
      <c r="U69">
        <f>IFERROR(VALUE(SUBSTITUTE(SUBSTITUTE('01_Raw'!H71,"$",""), ".",",")),"Invalid")</f>
        <v>582.13</v>
      </c>
      <c r="V69">
        <f>IFERROR(VALUE('01_Raw'!G71), "Invalid")</f>
        <v>1</v>
      </c>
      <c r="X69">
        <f>IF(ISBLANK('01_Raw'!H71),"Missing", IFERROR(VALUE(SUBSTITUTE(SUBSTITUTE('01_Raw'!H71,"$",""), ".",",")),"Invalid"))</f>
        <v>582.13</v>
      </c>
      <c r="Y69">
        <f>IF(LEN(TRIM('01_Raw'!H71)) = 0, "Missing",IFERROR(VALUE(SUBSTITUTE(SUBSTITUTE('01_Raw'!H71,"$",""), ".",",")),"Invalid"))</f>
        <v>582.13</v>
      </c>
      <c r="AA69">
        <f>IF(LEN(TRIM('01_Raw'!G71)) = 0, "Missing",IFERROR(VALUE(SUBSTITUTE(SUBSTITUTE('01_Raw'!G71,"$",""), ".",",")),"Invalid"))</f>
        <v>1</v>
      </c>
      <c r="AC69">
        <f>COUNTIF($A$2:$A$103,A70)</f>
        <v>1</v>
      </c>
      <c r="AE69">
        <f>COUNTIF(messy_ecommerce_sales_data__2[Order_ID],'01_Raw'!C71)</f>
        <v>1</v>
      </c>
      <c r="AG69">
        <f t="shared" si="6"/>
        <v>582.13</v>
      </c>
      <c r="AH69" t="str">
        <f>IF(AG69='01_Raw'!K70,"OK","Mismatch")</f>
        <v>Mismatch</v>
      </c>
      <c r="AJ69">
        <f t="shared" si="7"/>
        <v>582.13</v>
      </c>
      <c r="AK69" t="str">
        <f t="shared" si="8"/>
        <v>OK</v>
      </c>
    </row>
    <row r="70" spans="1:37" x14ac:dyDescent="0.3">
      <c r="A70">
        <f>'01_Raw'!A71</f>
        <v>169</v>
      </c>
      <c r="B70" t="str">
        <f>TRIM('01_Raw'!B71)</f>
        <v>Customer_169</v>
      </c>
      <c r="D70" s="1">
        <f t="shared" si="9"/>
        <v>45881</v>
      </c>
      <c r="E70" t="str">
        <f>TRIM('01_Raw'!E71)</f>
        <v>Basketball</v>
      </c>
      <c r="F70" t="str">
        <f>IF(PROPER(TRIM('01_Raw'!F71))="Electronic","Electronics",PROPER(TRIM('01_Raw'!F71)))</f>
        <v>Sports</v>
      </c>
      <c r="I70" t="str">
        <f>TRIM('01_Raw'!I71)</f>
        <v>Credit Card</v>
      </c>
      <c r="J70" t="str">
        <f>TRIM('01_Raw'!J71)</f>
        <v>Returned</v>
      </c>
      <c r="N70" t="b">
        <f>ISNUMBER('01_Raw'!D72)</f>
        <v>0</v>
      </c>
      <c r="P70" t="str">
        <f>LEFT('01_Raw'!D72, FIND("/",'01_Raw'!D72) - 1)</f>
        <v>10</v>
      </c>
      <c r="Q70" t="str">
        <f>IFERROR(RIGHT('01_Raw'!D72,4),"Invalid")</f>
        <v>2025</v>
      </c>
      <c r="R70" t="str">
        <f>MID('01_Raw'!D72,FIND("/",'01_Raw'!D72) + 1,FIND("/",'01_Raw'!D72,FIND("/",'01_Raw'!D72)+1)-FIND("/",'01_Raw'!D72)-1)</f>
        <v>3</v>
      </c>
      <c r="S70" s="1">
        <f t="shared" si="5"/>
        <v>45933</v>
      </c>
      <c r="U70">
        <f>IFERROR(VALUE(SUBSTITUTE(SUBSTITUTE('01_Raw'!H72,"$",""), ".",",")),"Invalid")</f>
        <v>741.63</v>
      </c>
      <c r="V70">
        <f>IFERROR(VALUE('01_Raw'!G72), "Invalid")</f>
        <v>5</v>
      </c>
      <c r="X70">
        <f>IF(ISBLANK('01_Raw'!H72),"Missing", IFERROR(VALUE(SUBSTITUTE(SUBSTITUTE('01_Raw'!H72,"$",""), ".",",")),"Invalid"))</f>
        <v>741.63</v>
      </c>
      <c r="Y70">
        <f>IF(LEN(TRIM('01_Raw'!H72)) = 0, "Missing",IFERROR(VALUE(SUBSTITUTE(SUBSTITUTE('01_Raw'!H72,"$",""), ".",",")),"Invalid"))</f>
        <v>741.63</v>
      </c>
      <c r="AA70">
        <f>IF(LEN(TRIM('01_Raw'!G72)) = 0, "Missing",IFERROR(VALUE(SUBSTITUTE(SUBSTITUTE('01_Raw'!G72,"$",""), ".",",")),"Invalid"))</f>
        <v>5</v>
      </c>
      <c r="AC70">
        <f>COUNTIF($A$2:$A$103,A71)</f>
        <v>1</v>
      </c>
      <c r="AE70">
        <f>COUNTIF(messy_ecommerce_sales_data__2[Order_ID],'01_Raw'!C72)</f>
        <v>1</v>
      </c>
      <c r="AG70">
        <f t="shared" si="6"/>
        <v>3708.15</v>
      </c>
      <c r="AH70" t="str">
        <f>IF(AG70='01_Raw'!K71,"OK","Mismatch")</f>
        <v>Mismatch</v>
      </c>
      <c r="AJ70">
        <f t="shared" si="7"/>
        <v>3708.15</v>
      </c>
      <c r="AK70" t="str">
        <f t="shared" si="8"/>
        <v>OK</v>
      </c>
    </row>
    <row r="71" spans="1:37" x14ac:dyDescent="0.3">
      <c r="A71">
        <f>'01_Raw'!A72</f>
        <v>170</v>
      </c>
      <c r="B71" t="str">
        <f>TRIM('01_Raw'!B72)</f>
        <v>Customer_170</v>
      </c>
      <c r="D71" s="1">
        <f t="shared" si="9"/>
        <v>45933</v>
      </c>
      <c r="E71" t="str">
        <f>TRIM('01_Raw'!E72)</f>
        <v>Jeans</v>
      </c>
      <c r="F71" t="str">
        <f>IF(PROPER(TRIM('01_Raw'!F72))="Electronic","Electronics",PROPER(TRIM('01_Raw'!F72)))</f>
        <v>Clothing</v>
      </c>
      <c r="I71" t="str">
        <f>TRIM('01_Raw'!I72)</f>
        <v>Bank Transfer</v>
      </c>
      <c r="J71" t="str">
        <f>TRIM('01_Raw'!J72)</f>
        <v>Processing</v>
      </c>
      <c r="N71" t="b">
        <f>ISNUMBER('01_Raw'!D73)</f>
        <v>0</v>
      </c>
      <c r="P71" t="str">
        <f>LEFT('01_Raw'!D73, FIND("/",'01_Raw'!D73) - 1)</f>
        <v>12</v>
      </c>
      <c r="Q71" t="str">
        <f>IFERROR(RIGHT('01_Raw'!D73,4),"Invalid")</f>
        <v>2024</v>
      </c>
      <c r="R71" t="str">
        <f>MID('01_Raw'!D73,FIND("/",'01_Raw'!D73) + 1,FIND("/",'01_Raw'!D73,FIND("/",'01_Raw'!D73)+1)-FIND("/",'01_Raw'!D73)-1)</f>
        <v>6</v>
      </c>
      <c r="S71" s="1">
        <f t="shared" si="5"/>
        <v>45632</v>
      </c>
      <c r="U71">
        <f>IFERROR(VALUE(SUBSTITUTE(SUBSTITUTE('01_Raw'!H73,"$",""), ".",",")),"Invalid")</f>
        <v>688.68</v>
      </c>
      <c r="V71">
        <f>IFERROR(VALUE('01_Raw'!G73), "Invalid")</f>
        <v>3</v>
      </c>
      <c r="X71">
        <f>IF(ISBLANK('01_Raw'!H73),"Missing", IFERROR(VALUE(SUBSTITUTE(SUBSTITUTE('01_Raw'!H73,"$",""), ".",",")),"Invalid"))</f>
        <v>688.68</v>
      </c>
      <c r="Y71">
        <f>IF(LEN(TRIM('01_Raw'!H73)) = 0, "Missing",IFERROR(VALUE(SUBSTITUTE(SUBSTITUTE('01_Raw'!H73,"$",""), ".",",")),"Invalid"))</f>
        <v>688.68</v>
      </c>
      <c r="AA71">
        <f>IF(LEN(TRIM('01_Raw'!G73)) = 0, "Missing",IFERROR(VALUE(SUBSTITUTE(SUBSTITUTE('01_Raw'!G73,"$",""), ".",",")),"Invalid"))</f>
        <v>3</v>
      </c>
      <c r="AC71">
        <f>COUNTIF($A$2:$A$103,A72)</f>
        <v>1</v>
      </c>
      <c r="AE71">
        <f>COUNTIF(messy_ecommerce_sales_data__2[Order_ID],'01_Raw'!C73)</f>
        <v>1</v>
      </c>
      <c r="AG71">
        <f t="shared" si="6"/>
        <v>2066.04</v>
      </c>
      <c r="AH71" t="str">
        <f>IF(AG71='01_Raw'!K72,"OK","Mismatch")</f>
        <v>Mismatch</v>
      </c>
      <c r="AJ71">
        <f t="shared" si="7"/>
        <v>2066.04</v>
      </c>
      <c r="AK71" t="str">
        <f t="shared" si="8"/>
        <v>OK</v>
      </c>
    </row>
    <row r="72" spans="1:37" x14ac:dyDescent="0.3">
      <c r="A72">
        <f>'01_Raw'!A73</f>
        <v>171</v>
      </c>
      <c r="B72" t="str">
        <f>TRIM('01_Raw'!B73)</f>
        <v>Customer_171</v>
      </c>
      <c r="D72" s="1">
        <f t="shared" si="9"/>
        <v>45632</v>
      </c>
      <c r="E72" t="str">
        <f>TRIM('01_Raw'!E73)</f>
        <v>Shoes</v>
      </c>
      <c r="F72" t="str">
        <f>IF(PROPER(TRIM('01_Raw'!F73))="Electronic","Electronics",PROPER(TRIM('01_Raw'!F73)))</f>
        <v>Clothing</v>
      </c>
      <c r="I72" t="str">
        <f>TRIM('01_Raw'!I73)</f>
        <v>PayPal</v>
      </c>
      <c r="J72" t="str">
        <f>TRIM('01_Raw'!J73)</f>
        <v>Processing</v>
      </c>
      <c r="N72" t="b">
        <f>ISNUMBER('01_Raw'!D74)</f>
        <v>0</v>
      </c>
      <c r="P72" t="str">
        <f>LEFT('01_Raw'!D74, FIND("/",'01_Raw'!D74) - 1)</f>
        <v>11</v>
      </c>
      <c r="Q72" t="str">
        <f>IFERROR(RIGHT('01_Raw'!D74,4),"Invalid")</f>
        <v>2024</v>
      </c>
      <c r="R72" t="str">
        <f>MID('01_Raw'!D74,FIND("/",'01_Raw'!D74) + 1,FIND("/",'01_Raw'!D74,FIND("/",'01_Raw'!D74)+1)-FIND("/",'01_Raw'!D74)-1)</f>
        <v>18</v>
      </c>
      <c r="S72" s="1">
        <f t="shared" si="5"/>
        <v>45614</v>
      </c>
      <c r="U72">
        <f>IFERROR(VALUE(SUBSTITUTE(SUBSTITUTE('01_Raw'!H74,"$",""), ".",",")),"Invalid")</f>
        <v>942.76</v>
      </c>
      <c r="V72">
        <f>IFERROR(VALUE('01_Raw'!G74), "Invalid")</f>
        <v>2</v>
      </c>
      <c r="X72">
        <f>IF(ISBLANK('01_Raw'!H74),"Missing", IFERROR(VALUE(SUBSTITUTE(SUBSTITUTE('01_Raw'!H74,"$",""), ".",",")),"Invalid"))</f>
        <v>942.76</v>
      </c>
      <c r="Y72">
        <f>IF(LEN(TRIM('01_Raw'!H74)) = 0, "Missing",IFERROR(VALUE(SUBSTITUTE(SUBSTITUTE('01_Raw'!H74,"$",""), ".",",")),"Invalid"))</f>
        <v>942.76</v>
      </c>
      <c r="AA72">
        <f>IF(LEN(TRIM('01_Raw'!G74)) = 0, "Missing",IFERROR(VALUE(SUBSTITUTE(SUBSTITUTE('01_Raw'!G74,"$",""), ".",",")),"Invalid"))</f>
        <v>2</v>
      </c>
      <c r="AC72">
        <f>COUNTIF($A$2:$A$103,A73)</f>
        <v>1</v>
      </c>
      <c r="AE72">
        <f>COUNTIF(messy_ecommerce_sales_data__2[Order_ID],'01_Raw'!C74)</f>
        <v>1</v>
      </c>
      <c r="AG72">
        <f t="shared" si="6"/>
        <v>1885.52</v>
      </c>
      <c r="AH72" t="str">
        <f>IF(AG72='01_Raw'!K73,"OK","Mismatch")</f>
        <v>Mismatch</v>
      </c>
      <c r="AJ72">
        <f t="shared" si="7"/>
        <v>1885.52</v>
      </c>
      <c r="AK72" t="str">
        <f t="shared" si="8"/>
        <v>OK</v>
      </c>
    </row>
    <row r="73" spans="1:37" x14ac:dyDescent="0.3">
      <c r="A73">
        <f>'01_Raw'!A74</f>
        <v>172</v>
      </c>
      <c r="B73" t="str">
        <f>TRIM('01_Raw'!B74)</f>
        <v>Customer_172</v>
      </c>
      <c r="D73" s="1">
        <f t="shared" si="9"/>
        <v>45614</v>
      </c>
      <c r="E73" t="str">
        <f>TRIM('01_Raw'!E74)</f>
        <v>Comics</v>
      </c>
      <c r="F73" t="str">
        <f>IF(PROPER(TRIM('01_Raw'!F74))="Electronic","Electronics",PROPER(TRIM('01_Raw'!F74)))</f>
        <v>Books</v>
      </c>
      <c r="I73" t="str">
        <f>TRIM('01_Raw'!I74)</f>
        <v>Bank Transfer</v>
      </c>
      <c r="J73" t="str">
        <f>TRIM('01_Raw'!J74)</f>
        <v>Returned</v>
      </c>
      <c r="N73" t="b">
        <f>ISNUMBER('01_Raw'!D75)</f>
        <v>0</v>
      </c>
      <c r="P73" t="str">
        <f>LEFT('01_Raw'!D75, FIND("/",'01_Raw'!D75) - 1)</f>
        <v>10</v>
      </c>
      <c r="Q73" t="str">
        <f>IFERROR(RIGHT('01_Raw'!D75,4),"Invalid")</f>
        <v>2025</v>
      </c>
      <c r="R73" t="str">
        <f>MID('01_Raw'!D75,FIND("/",'01_Raw'!D75) + 1,FIND("/",'01_Raw'!D75,FIND("/",'01_Raw'!D75)+1)-FIND("/",'01_Raw'!D75)-1)</f>
        <v>11</v>
      </c>
      <c r="S73" s="1">
        <f t="shared" si="5"/>
        <v>45941</v>
      </c>
      <c r="U73">
        <f>IFERROR(VALUE(SUBSTITUTE(SUBSTITUTE('01_Raw'!H75,"$",""), ".",",")),"Invalid")</f>
        <v>351.89</v>
      </c>
      <c r="V73">
        <f>IFERROR(VALUE('01_Raw'!G75), "Invalid")</f>
        <v>5</v>
      </c>
      <c r="X73">
        <f>IF(ISBLANK('01_Raw'!H75),"Missing", IFERROR(VALUE(SUBSTITUTE(SUBSTITUTE('01_Raw'!H75,"$",""), ".",",")),"Invalid"))</f>
        <v>351.89</v>
      </c>
      <c r="Y73">
        <f>IF(LEN(TRIM('01_Raw'!H75)) = 0, "Missing",IFERROR(VALUE(SUBSTITUTE(SUBSTITUTE('01_Raw'!H75,"$",""), ".",",")),"Invalid"))</f>
        <v>351.89</v>
      </c>
      <c r="AA73">
        <f>IF(LEN(TRIM('01_Raw'!G75)) = 0, "Missing",IFERROR(VALUE(SUBSTITUTE(SUBSTITUTE('01_Raw'!G75,"$",""), ".",",")),"Invalid"))</f>
        <v>5</v>
      </c>
      <c r="AC73">
        <f>COUNTIF($A$2:$A$103,A74)</f>
        <v>1</v>
      </c>
      <c r="AE73">
        <f>COUNTIF(messy_ecommerce_sales_data__2[Order_ID],'01_Raw'!C75)</f>
        <v>1</v>
      </c>
      <c r="AG73">
        <f t="shared" si="6"/>
        <v>1759.4499999999998</v>
      </c>
      <c r="AH73" t="str">
        <f>IF(AG73='01_Raw'!K74,"OK","Mismatch")</f>
        <v>Mismatch</v>
      </c>
      <c r="AJ73">
        <f t="shared" si="7"/>
        <v>1759.45</v>
      </c>
      <c r="AK73" t="str">
        <f t="shared" si="8"/>
        <v>OK</v>
      </c>
    </row>
    <row r="74" spans="1:37" x14ac:dyDescent="0.3">
      <c r="A74">
        <f>'01_Raw'!A75</f>
        <v>173</v>
      </c>
      <c r="B74" t="str">
        <f>TRIM('01_Raw'!B75)</f>
        <v>Customer_173</v>
      </c>
      <c r="D74" s="1">
        <f t="shared" si="9"/>
        <v>45941</v>
      </c>
      <c r="E74" t="str">
        <f>TRIM('01_Raw'!E75)</f>
        <v>Lamp</v>
      </c>
      <c r="F74" t="str">
        <f>IF(PROPER(TRIM('01_Raw'!F75))="Electronic","Electronics",PROPER(TRIM('01_Raw'!F75)))</f>
        <v>Home</v>
      </c>
      <c r="I74" t="str">
        <f>TRIM('01_Raw'!I75)</f>
        <v>Credit Card</v>
      </c>
      <c r="J74" t="str">
        <f>TRIM('01_Raw'!J75)</f>
        <v>Shipped</v>
      </c>
      <c r="N74" t="b">
        <f>ISNUMBER('01_Raw'!D76)</f>
        <v>0</v>
      </c>
      <c r="P74" t="str">
        <f>LEFT('01_Raw'!D76, FIND("/",'01_Raw'!D76) - 1)</f>
        <v>9</v>
      </c>
      <c r="Q74" t="str">
        <f>IFERROR(RIGHT('01_Raw'!D76,4),"Invalid")</f>
        <v>2025</v>
      </c>
      <c r="R74" t="str">
        <f>MID('01_Raw'!D76,FIND("/",'01_Raw'!D76) + 1,FIND("/",'01_Raw'!D76,FIND("/",'01_Raw'!D76)+1)-FIND("/",'01_Raw'!D76)-1)</f>
        <v>20</v>
      </c>
      <c r="S74" s="1">
        <f t="shared" si="5"/>
        <v>45920</v>
      </c>
      <c r="U74">
        <f>IFERROR(VALUE(SUBSTITUTE(SUBSTITUTE('01_Raw'!H76,"$",""), ".",",")),"Invalid")</f>
        <v>187.48</v>
      </c>
      <c r="V74">
        <f>IFERROR(VALUE('01_Raw'!G76), "Invalid")</f>
        <v>4</v>
      </c>
      <c r="X74">
        <f>IF(ISBLANK('01_Raw'!H76),"Missing", IFERROR(VALUE(SUBSTITUTE(SUBSTITUTE('01_Raw'!H76,"$",""), ".",",")),"Invalid"))</f>
        <v>187.48</v>
      </c>
      <c r="Y74">
        <f>IF(LEN(TRIM('01_Raw'!H76)) = 0, "Missing",IFERROR(VALUE(SUBSTITUTE(SUBSTITUTE('01_Raw'!H76,"$",""), ".",",")),"Invalid"))</f>
        <v>187.48</v>
      </c>
      <c r="AA74">
        <f>IF(LEN(TRIM('01_Raw'!G76)) = 0, "Missing",IFERROR(VALUE(SUBSTITUTE(SUBSTITUTE('01_Raw'!G76,"$",""), ".",",")),"Invalid"))</f>
        <v>4</v>
      </c>
      <c r="AC74">
        <f>COUNTIF($A$2:$A$103,A75)</f>
        <v>1</v>
      </c>
      <c r="AE74">
        <f>COUNTIF(messy_ecommerce_sales_data__2[Order_ID],'01_Raw'!C76)</f>
        <v>1</v>
      </c>
      <c r="AG74">
        <f t="shared" si="6"/>
        <v>749.92</v>
      </c>
      <c r="AH74" t="str">
        <f>IF(AG74='01_Raw'!K75,"OK","Mismatch")</f>
        <v>Mismatch</v>
      </c>
      <c r="AJ74">
        <f t="shared" si="7"/>
        <v>749.92</v>
      </c>
      <c r="AK74" t="str">
        <f t="shared" si="8"/>
        <v>OK</v>
      </c>
    </row>
    <row r="75" spans="1:37" x14ac:dyDescent="0.3">
      <c r="A75">
        <f>'01_Raw'!A76</f>
        <v>174</v>
      </c>
      <c r="B75" t="str">
        <f>TRIM('01_Raw'!B76)</f>
        <v>Customer_174</v>
      </c>
      <c r="D75" s="1">
        <f t="shared" si="9"/>
        <v>45920</v>
      </c>
      <c r="E75" t="str">
        <f>TRIM('01_Raw'!E76)</f>
        <v>Microwave</v>
      </c>
      <c r="F75" t="str">
        <f>IF(PROPER(TRIM('01_Raw'!F76))="Electronic","Electronics",PROPER(TRIM('01_Raw'!F76)))</f>
        <v>Electronics</v>
      </c>
      <c r="I75" t="str">
        <f>TRIM('01_Raw'!I76)</f>
        <v>Credit Card</v>
      </c>
      <c r="J75" t="str">
        <f>TRIM('01_Raw'!J76)</f>
        <v>Returned</v>
      </c>
      <c r="N75" t="b">
        <f>ISNUMBER('01_Raw'!D77)</f>
        <v>0</v>
      </c>
      <c r="P75" t="str">
        <f>LEFT('01_Raw'!D77, FIND("/",'01_Raw'!D77) - 1)</f>
        <v>2</v>
      </c>
      <c r="Q75" t="str">
        <f>IFERROR(RIGHT('01_Raw'!D77,4),"Invalid")</f>
        <v>2025</v>
      </c>
      <c r="R75" t="str">
        <f>MID('01_Raw'!D77,FIND("/",'01_Raw'!D77) + 1,FIND("/",'01_Raw'!D77,FIND("/",'01_Raw'!D77)+1)-FIND("/",'01_Raw'!D77)-1)</f>
        <v>24</v>
      </c>
      <c r="S75" s="1">
        <f t="shared" si="5"/>
        <v>45712</v>
      </c>
      <c r="U75">
        <f>IFERROR(VALUE(SUBSTITUTE(SUBSTITUTE('01_Raw'!H77,"$",""), ".",",")),"Invalid")</f>
        <v>111.36</v>
      </c>
      <c r="V75">
        <f>IFERROR(VALUE('01_Raw'!G77), "Invalid")</f>
        <v>1</v>
      </c>
      <c r="X75">
        <f>IF(ISBLANK('01_Raw'!H77),"Missing", IFERROR(VALUE(SUBSTITUTE(SUBSTITUTE('01_Raw'!H77,"$",""), ".",",")),"Invalid"))</f>
        <v>111.36</v>
      </c>
      <c r="Y75">
        <f>IF(LEN(TRIM('01_Raw'!H77)) = 0, "Missing",IFERROR(VALUE(SUBSTITUTE(SUBSTITUTE('01_Raw'!H77,"$",""), ".",",")),"Invalid"))</f>
        <v>111.36</v>
      </c>
      <c r="AA75">
        <f>IF(LEN(TRIM('01_Raw'!G77)) = 0, "Missing",IFERROR(VALUE(SUBSTITUTE(SUBSTITUTE('01_Raw'!G77,"$",""), ".",",")),"Invalid"))</f>
        <v>1</v>
      </c>
      <c r="AC75">
        <f>COUNTIF($A$2:$A$103,A76)</f>
        <v>2</v>
      </c>
      <c r="AE75">
        <f>COUNTIF(messy_ecommerce_sales_data__2[Order_ID],'01_Raw'!C77)</f>
        <v>2</v>
      </c>
      <c r="AG75">
        <f t="shared" si="6"/>
        <v>111.36</v>
      </c>
      <c r="AH75" t="str">
        <f>IF(AG75='01_Raw'!K76,"OK","Mismatch")</f>
        <v>Mismatch</v>
      </c>
      <c r="AJ75">
        <f t="shared" si="7"/>
        <v>111.36</v>
      </c>
      <c r="AK75" t="str">
        <f t="shared" si="8"/>
        <v>OK</v>
      </c>
    </row>
    <row r="76" spans="1:37" x14ac:dyDescent="0.3">
      <c r="A76">
        <f>'01_Raw'!A77</f>
        <v>175</v>
      </c>
      <c r="B76" t="str">
        <f>TRIM('01_Raw'!B77)</f>
        <v>Customer_175</v>
      </c>
      <c r="D76" s="1">
        <f t="shared" si="9"/>
        <v>45712</v>
      </c>
      <c r="E76" t="str">
        <f>TRIM('01_Raw'!E77)</f>
        <v>Headphones</v>
      </c>
      <c r="F76" t="str">
        <f>IF(PROPER(TRIM('01_Raw'!F77))="Electronic","Electronics",PROPER(TRIM('01_Raw'!F77)))</f>
        <v>Electronics</v>
      </c>
      <c r="I76" t="str">
        <f>TRIM('01_Raw'!I77)</f>
        <v>Credit Card</v>
      </c>
      <c r="J76" t="str">
        <f>TRIM('01_Raw'!J77)</f>
        <v>Processing</v>
      </c>
      <c r="N76" t="b">
        <f>ISNUMBER('01_Raw'!D78)</f>
        <v>0</v>
      </c>
      <c r="P76" t="str">
        <f>LEFT('01_Raw'!D78, FIND("/",'01_Raw'!D78) - 1)</f>
        <v>7</v>
      </c>
      <c r="Q76" t="str">
        <f>IFERROR(RIGHT('01_Raw'!D78,4),"Invalid")</f>
        <v>2025</v>
      </c>
      <c r="R76" t="str">
        <f>MID('01_Raw'!D78,FIND("/",'01_Raw'!D78) + 1,FIND("/",'01_Raw'!D78,FIND("/",'01_Raw'!D78)+1)-FIND("/",'01_Raw'!D78)-1)</f>
        <v>22</v>
      </c>
      <c r="S76" s="1">
        <f t="shared" si="5"/>
        <v>45860</v>
      </c>
      <c r="U76">
        <f>IFERROR(VALUE(SUBSTITUTE(SUBSTITUTE('01_Raw'!H78,"$",""), ".",",")),"Invalid")</f>
        <v>530.52</v>
      </c>
      <c r="V76">
        <f>IFERROR(VALUE('01_Raw'!G78), "Invalid")</f>
        <v>5</v>
      </c>
      <c r="X76">
        <f>IF(ISBLANK('01_Raw'!H78),"Missing", IFERROR(VALUE(SUBSTITUTE(SUBSTITUTE('01_Raw'!H78,"$",""), ".",",")),"Invalid"))</f>
        <v>530.52</v>
      </c>
      <c r="Y76">
        <f>IF(LEN(TRIM('01_Raw'!H78)) = 0, "Missing",IFERROR(VALUE(SUBSTITUTE(SUBSTITUTE('01_Raw'!H78,"$",""), ".",",")),"Invalid"))</f>
        <v>530.52</v>
      </c>
      <c r="AA76">
        <f>IF(LEN(TRIM('01_Raw'!G78)) = 0, "Missing",IFERROR(VALUE(SUBSTITUTE(SUBSTITUTE('01_Raw'!G78,"$",""), ".",",")),"Invalid"))</f>
        <v>5</v>
      </c>
      <c r="AC76">
        <f>COUNTIF($A$2:$A$103,A77)</f>
        <v>1</v>
      </c>
      <c r="AE76">
        <f>COUNTIF(messy_ecommerce_sales_data__2[Order_ID],'01_Raw'!C78)</f>
        <v>1</v>
      </c>
      <c r="AG76">
        <f t="shared" si="6"/>
        <v>2652.6</v>
      </c>
      <c r="AH76" t="str">
        <f>IF(AG76='01_Raw'!K77,"OK","Mismatch")</f>
        <v>Mismatch</v>
      </c>
      <c r="AJ76">
        <f t="shared" si="7"/>
        <v>2652.6</v>
      </c>
      <c r="AK76" t="str">
        <f t="shared" si="8"/>
        <v>OK</v>
      </c>
    </row>
    <row r="77" spans="1:37" x14ac:dyDescent="0.3">
      <c r="A77">
        <f>'01_Raw'!A78</f>
        <v>176</v>
      </c>
      <c r="B77" t="str">
        <f>TRIM('01_Raw'!B78)</f>
        <v>Customer_176</v>
      </c>
      <c r="D77" s="1">
        <f t="shared" si="9"/>
        <v>45860</v>
      </c>
      <c r="E77" t="str">
        <f>TRIM('01_Raw'!E78)</f>
        <v>Comics</v>
      </c>
      <c r="F77" t="str">
        <f>IF(PROPER(TRIM('01_Raw'!F78))="Electronic","Electronics",PROPER(TRIM('01_Raw'!F78)))</f>
        <v>Books</v>
      </c>
      <c r="I77" t="str">
        <f>TRIM('01_Raw'!I78)</f>
        <v>Cash on Delivery</v>
      </c>
      <c r="J77" t="str">
        <f>TRIM('01_Raw'!J78)</f>
        <v>Shipped</v>
      </c>
      <c r="N77" t="b">
        <f>ISNUMBER('01_Raw'!D79)</f>
        <v>0</v>
      </c>
      <c r="P77" t="str">
        <f>LEFT('01_Raw'!D79, FIND("/",'01_Raw'!D79) - 1)</f>
        <v>7</v>
      </c>
      <c r="Q77" t="str">
        <f>IFERROR(RIGHT('01_Raw'!D79,4),"Invalid")</f>
        <v>2025</v>
      </c>
      <c r="R77" t="str">
        <f>MID('01_Raw'!D79,FIND("/",'01_Raw'!D79) + 1,FIND("/",'01_Raw'!D79,FIND("/",'01_Raw'!D79)+1)-FIND("/",'01_Raw'!D79)-1)</f>
        <v>28</v>
      </c>
      <c r="S77" s="1">
        <f t="shared" si="5"/>
        <v>45866</v>
      </c>
      <c r="U77">
        <f>IFERROR(VALUE(SUBSTITUTE(SUBSTITUTE('01_Raw'!H79,"$",""), ".",",")),"Invalid")</f>
        <v>69.48</v>
      </c>
      <c r="V77">
        <f>IFERROR(VALUE('01_Raw'!G79), "Invalid")</f>
        <v>1</v>
      </c>
      <c r="X77">
        <f>IF(ISBLANK('01_Raw'!H79),"Missing", IFERROR(VALUE(SUBSTITUTE(SUBSTITUTE('01_Raw'!H79,"$",""), ".",",")),"Invalid"))</f>
        <v>69.48</v>
      </c>
      <c r="Y77">
        <f>IF(LEN(TRIM('01_Raw'!H79)) = 0, "Missing",IFERROR(VALUE(SUBSTITUTE(SUBSTITUTE('01_Raw'!H79,"$",""), ".",",")),"Invalid"))</f>
        <v>69.48</v>
      </c>
      <c r="AA77">
        <f>IF(LEN(TRIM('01_Raw'!G79)) = 0, "Missing",IFERROR(VALUE(SUBSTITUTE(SUBSTITUTE('01_Raw'!G79,"$",""), ".",",")),"Invalid"))</f>
        <v>1</v>
      </c>
      <c r="AC77">
        <f>COUNTIF($A$2:$A$103,A78)</f>
        <v>1</v>
      </c>
      <c r="AE77">
        <f>COUNTIF(messy_ecommerce_sales_data__2[Order_ID],'01_Raw'!C79)</f>
        <v>1</v>
      </c>
      <c r="AG77">
        <f t="shared" si="6"/>
        <v>69.48</v>
      </c>
      <c r="AH77" t="str">
        <f>IF(AG77='01_Raw'!K78,"OK","Mismatch")</f>
        <v>Mismatch</v>
      </c>
      <c r="AJ77">
        <f t="shared" si="7"/>
        <v>69.48</v>
      </c>
      <c r="AK77" t="str">
        <f t="shared" si="8"/>
        <v>OK</v>
      </c>
    </row>
    <row r="78" spans="1:37" x14ac:dyDescent="0.3">
      <c r="A78">
        <f>'01_Raw'!A79</f>
        <v>177</v>
      </c>
      <c r="B78" t="str">
        <f>TRIM('01_Raw'!B79)</f>
        <v>Customer_177</v>
      </c>
      <c r="D78" s="1">
        <f t="shared" si="9"/>
        <v>45866</v>
      </c>
      <c r="E78" t="str">
        <f>TRIM('01_Raw'!E79)</f>
        <v>Laptop</v>
      </c>
      <c r="F78" t="str">
        <f>IF(PROPER(TRIM('01_Raw'!F79))="Electronic","Electronics",PROPER(TRIM('01_Raw'!F79)))</f>
        <v>Electronics</v>
      </c>
      <c r="I78" t="str">
        <f>TRIM('01_Raw'!I79)</f>
        <v>Bank Transfer</v>
      </c>
      <c r="J78" t="str">
        <f>TRIM('01_Raw'!J79)</f>
        <v>Returned</v>
      </c>
      <c r="N78" t="b">
        <f>ISNUMBER('01_Raw'!D80)</f>
        <v>0</v>
      </c>
      <c r="P78" t="str">
        <f>LEFT('01_Raw'!D80, FIND("/",'01_Raw'!D80) - 1)</f>
        <v>9</v>
      </c>
      <c r="Q78" t="str">
        <f>IFERROR(RIGHT('01_Raw'!D80,4),"Invalid")</f>
        <v>2025</v>
      </c>
      <c r="R78" t="str">
        <f>MID('01_Raw'!D80,FIND("/",'01_Raw'!D80) + 1,FIND("/",'01_Raw'!D80,FIND("/",'01_Raw'!D80)+1)-FIND("/",'01_Raw'!D80)-1)</f>
        <v>18</v>
      </c>
      <c r="S78" s="1">
        <f t="shared" si="5"/>
        <v>45918</v>
      </c>
      <c r="U78">
        <f>IFERROR(VALUE(SUBSTITUTE(SUBSTITUTE('01_Raw'!H80,"$",""), ".",",")),"Invalid")</f>
        <v>472.14</v>
      </c>
      <c r="V78">
        <f>IFERROR(VALUE('01_Raw'!G80), "Invalid")</f>
        <v>3</v>
      </c>
      <c r="X78">
        <f>IF(ISBLANK('01_Raw'!H80),"Missing", IFERROR(VALUE(SUBSTITUTE(SUBSTITUTE('01_Raw'!H80,"$",""), ".",",")),"Invalid"))</f>
        <v>472.14</v>
      </c>
      <c r="Y78">
        <f>IF(LEN(TRIM('01_Raw'!H80)) = 0, "Missing",IFERROR(VALUE(SUBSTITUTE(SUBSTITUTE('01_Raw'!H80,"$",""), ".",",")),"Invalid"))</f>
        <v>472.14</v>
      </c>
      <c r="AA78">
        <f>IF(LEN(TRIM('01_Raw'!G80)) = 0, "Missing",IFERROR(VALUE(SUBSTITUTE(SUBSTITUTE('01_Raw'!G80,"$",""), ".",",")),"Invalid"))</f>
        <v>3</v>
      </c>
      <c r="AC78">
        <f>COUNTIF($A$2:$A$103,A79)</f>
        <v>1</v>
      </c>
      <c r="AE78">
        <f>COUNTIF(messy_ecommerce_sales_data__2[Order_ID],'01_Raw'!C80)</f>
        <v>1</v>
      </c>
      <c r="AG78">
        <f t="shared" si="6"/>
        <v>1416.42</v>
      </c>
      <c r="AH78" t="str">
        <f>IF(AG78='01_Raw'!K79,"OK","Mismatch")</f>
        <v>Mismatch</v>
      </c>
      <c r="AJ78">
        <f t="shared" si="7"/>
        <v>1416.42</v>
      </c>
      <c r="AK78" t="str">
        <f t="shared" si="8"/>
        <v>OK</v>
      </c>
    </row>
    <row r="79" spans="1:37" x14ac:dyDescent="0.3">
      <c r="A79">
        <f>'01_Raw'!A80</f>
        <v>178</v>
      </c>
      <c r="B79" t="str">
        <f>TRIM('01_Raw'!B80)</f>
        <v>Customer_178</v>
      </c>
      <c r="D79" s="1">
        <f t="shared" si="9"/>
        <v>45918</v>
      </c>
      <c r="E79" t="str">
        <f>TRIM('01_Raw'!E80)</f>
        <v>Tennis Racket</v>
      </c>
      <c r="F79" t="str">
        <f>IF(PROPER(TRIM('01_Raw'!F80))="Electronic","Electronics",PROPER(TRIM('01_Raw'!F80)))</f>
        <v>Sports</v>
      </c>
      <c r="I79" t="str">
        <f>TRIM('01_Raw'!I80)</f>
        <v>PayPal</v>
      </c>
      <c r="J79" t="str">
        <f>TRIM('01_Raw'!J80)</f>
        <v>Returned</v>
      </c>
      <c r="N79" t="b">
        <f>ISNUMBER('01_Raw'!D81)</f>
        <v>0</v>
      </c>
      <c r="P79" t="str">
        <f>LEFT('01_Raw'!D81, FIND("/",'01_Raw'!D81) - 1)</f>
        <v>9</v>
      </c>
      <c r="Q79" t="str">
        <f>IFERROR(RIGHT('01_Raw'!D81,4),"Invalid")</f>
        <v>2025</v>
      </c>
      <c r="R79" t="str">
        <f>MID('01_Raw'!D81,FIND("/",'01_Raw'!D81) + 1,FIND("/",'01_Raw'!D81,FIND("/",'01_Raw'!D81)+1)-FIND("/",'01_Raw'!D81)-1)</f>
        <v>3</v>
      </c>
      <c r="S79" s="1">
        <f t="shared" si="5"/>
        <v>45903</v>
      </c>
      <c r="U79">
        <f>IFERROR(VALUE(SUBSTITUTE(SUBSTITUTE('01_Raw'!H81,"$",""), ".",",")),"Invalid")</f>
        <v>868.67</v>
      </c>
      <c r="V79">
        <f>IFERROR(VALUE('01_Raw'!G81), "Invalid")</f>
        <v>3</v>
      </c>
      <c r="X79">
        <f>IF(ISBLANK('01_Raw'!H81),"Missing", IFERROR(VALUE(SUBSTITUTE(SUBSTITUTE('01_Raw'!H81,"$",""), ".",",")),"Invalid"))</f>
        <v>868.67</v>
      </c>
      <c r="Y79">
        <f>IF(LEN(TRIM('01_Raw'!H81)) = 0, "Missing",IFERROR(VALUE(SUBSTITUTE(SUBSTITUTE('01_Raw'!H81,"$",""), ".",",")),"Invalid"))</f>
        <v>868.67</v>
      </c>
      <c r="AA79">
        <f>IF(LEN(TRIM('01_Raw'!G81)) = 0, "Missing",IFERROR(VALUE(SUBSTITUTE(SUBSTITUTE('01_Raw'!G81,"$",""), ".",",")),"Invalid"))</f>
        <v>3</v>
      </c>
      <c r="AC79">
        <f>COUNTIF($A$2:$A$103,A80)</f>
        <v>1</v>
      </c>
      <c r="AE79">
        <f>COUNTIF(messy_ecommerce_sales_data__2[Order_ID],'01_Raw'!C81)</f>
        <v>1</v>
      </c>
      <c r="AG79">
        <f t="shared" si="6"/>
        <v>2606.0099999999998</v>
      </c>
      <c r="AH79" t="str">
        <f>IF(AG79='01_Raw'!K80,"OK","Mismatch")</f>
        <v>Mismatch</v>
      </c>
      <c r="AJ79">
        <f t="shared" si="7"/>
        <v>2606.0100000000002</v>
      </c>
      <c r="AK79" t="str">
        <f t="shared" si="8"/>
        <v>OK</v>
      </c>
    </row>
    <row r="80" spans="1:37" x14ac:dyDescent="0.3">
      <c r="A80">
        <f>'01_Raw'!A81</f>
        <v>179</v>
      </c>
      <c r="B80" t="str">
        <f>TRIM('01_Raw'!B81)</f>
        <v>Customer_179</v>
      </c>
      <c r="D80" s="1">
        <f t="shared" si="9"/>
        <v>45903</v>
      </c>
      <c r="E80" t="str">
        <f>TRIM('01_Raw'!E81)</f>
        <v>Yoga Mat</v>
      </c>
      <c r="F80" t="str">
        <f>IF(PROPER(TRIM('01_Raw'!F81))="Electronic","Electronics",PROPER(TRIM('01_Raw'!F81)))</f>
        <v>Sports</v>
      </c>
      <c r="I80" t="str">
        <f>TRIM('01_Raw'!I81)</f>
        <v>PayPal</v>
      </c>
      <c r="J80" t="str">
        <f>TRIM('01_Raw'!J81)</f>
        <v>Delivered</v>
      </c>
      <c r="N80" t="b">
        <f>ISNUMBER('01_Raw'!D82)</f>
        <v>0</v>
      </c>
      <c r="P80" t="str">
        <f>LEFT('01_Raw'!D82, FIND("/",'01_Raw'!D82) - 1)</f>
        <v>3</v>
      </c>
      <c r="Q80" t="str">
        <f>IFERROR(RIGHT('01_Raw'!D82,4),"Invalid")</f>
        <v>2025</v>
      </c>
      <c r="R80" t="str">
        <f>MID('01_Raw'!D82,FIND("/",'01_Raw'!D82) + 1,FIND("/",'01_Raw'!D82,FIND("/",'01_Raw'!D82)+1)-FIND("/",'01_Raw'!D82)-1)</f>
        <v>26</v>
      </c>
      <c r="S80" s="1">
        <f t="shared" si="5"/>
        <v>45742</v>
      </c>
      <c r="U80">
        <f>IFERROR(VALUE(SUBSTITUTE(SUBSTITUTE('01_Raw'!H82,"$",""), ".",",")),"Invalid")</f>
        <v>418.38</v>
      </c>
      <c r="V80">
        <f>IFERROR(VALUE('01_Raw'!G82), "Invalid")</f>
        <v>2</v>
      </c>
      <c r="X80">
        <f>IF(ISBLANK('01_Raw'!H82),"Missing", IFERROR(VALUE(SUBSTITUTE(SUBSTITUTE('01_Raw'!H82,"$",""), ".",",")),"Invalid"))</f>
        <v>418.38</v>
      </c>
      <c r="Y80">
        <f>IF(LEN(TRIM('01_Raw'!H82)) = 0, "Missing",IFERROR(VALUE(SUBSTITUTE(SUBSTITUTE('01_Raw'!H82,"$",""), ".",",")),"Invalid"))</f>
        <v>418.38</v>
      </c>
      <c r="AA80">
        <f>IF(LEN(TRIM('01_Raw'!G82)) = 0, "Missing",IFERROR(VALUE(SUBSTITUTE(SUBSTITUTE('01_Raw'!G82,"$",""), ".",",")),"Invalid"))</f>
        <v>2</v>
      </c>
      <c r="AC80">
        <f>COUNTIF($A$2:$A$103,A81)</f>
        <v>1</v>
      </c>
      <c r="AE80">
        <f>COUNTIF(messy_ecommerce_sales_data__2[Order_ID],'01_Raw'!C82)</f>
        <v>1</v>
      </c>
      <c r="AG80">
        <f t="shared" si="6"/>
        <v>836.76</v>
      </c>
      <c r="AH80" t="str">
        <f>IF(AG80='01_Raw'!K81,"OK","Mismatch")</f>
        <v>Mismatch</v>
      </c>
      <c r="AJ80">
        <f t="shared" si="7"/>
        <v>836.76</v>
      </c>
      <c r="AK80" t="str">
        <f t="shared" si="8"/>
        <v>OK</v>
      </c>
    </row>
    <row r="81" spans="1:37" x14ac:dyDescent="0.3">
      <c r="A81">
        <f>'01_Raw'!A82</f>
        <v>180</v>
      </c>
      <c r="B81" t="str">
        <f>TRIM('01_Raw'!B82)</f>
        <v>Customer_180</v>
      </c>
      <c r="D81" s="1">
        <f t="shared" si="9"/>
        <v>45742</v>
      </c>
      <c r="E81" t="str">
        <f>TRIM('01_Raw'!E82)</f>
        <v>Laptop</v>
      </c>
      <c r="F81" t="str">
        <f>IF(PROPER(TRIM('01_Raw'!F82))="Electronic","Electronics",PROPER(TRIM('01_Raw'!F82)))</f>
        <v/>
      </c>
      <c r="I81" t="str">
        <f>TRIM('01_Raw'!I82)</f>
        <v>Credit Card</v>
      </c>
      <c r="J81" t="str">
        <f>TRIM('01_Raw'!J82)</f>
        <v>Processing</v>
      </c>
      <c r="N81" t="b">
        <f>ISNUMBER('01_Raw'!D83)</f>
        <v>0</v>
      </c>
      <c r="P81" t="str">
        <f>LEFT('01_Raw'!D83, FIND("/",'01_Raw'!D83) - 1)</f>
        <v>12</v>
      </c>
      <c r="Q81" t="str">
        <f>IFERROR(RIGHT('01_Raw'!D83,4),"Invalid")</f>
        <v>2024</v>
      </c>
      <c r="R81" t="str">
        <f>MID('01_Raw'!D83,FIND("/",'01_Raw'!D83) + 1,FIND("/",'01_Raw'!D83,FIND("/",'01_Raw'!D83)+1)-FIND("/",'01_Raw'!D83)-1)</f>
        <v>29</v>
      </c>
      <c r="S81" s="1">
        <f t="shared" si="5"/>
        <v>45655</v>
      </c>
      <c r="U81">
        <f>IFERROR(VALUE(SUBSTITUTE(SUBSTITUTE('01_Raw'!H83,"$",""), ".",",")),"Invalid")</f>
        <v>266.48</v>
      </c>
      <c r="V81">
        <f>IFERROR(VALUE('01_Raw'!G83), "Invalid")</f>
        <v>1</v>
      </c>
      <c r="X81">
        <f>IF(ISBLANK('01_Raw'!H83),"Missing", IFERROR(VALUE(SUBSTITUTE(SUBSTITUTE('01_Raw'!H83,"$",""), ".",",")),"Invalid"))</f>
        <v>266.48</v>
      </c>
      <c r="Y81">
        <f>IF(LEN(TRIM('01_Raw'!H83)) = 0, "Missing",IFERROR(VALUE(SUBSTITUTE(SUBSTITUTE('01_Raw'!H83,"$",""), ".",",")),"Invalid"))</f>
        <v>266.48</v>
      </c>
      <c r="AA81">
        <f>IF(LEN(TRIM('01_Raw'!G83)) = 0, "Missing",IFERROR(VALUE(SUBSTITUTE(SUBSTITUTE('01_Raw'!G83,"$",""), ".",",")),"Invalid"))</f>
        <v>1</v>
      </c>
      <c r="AC81">
        <f>COUNTIF($A$2:$A$103,A82)</f>
        <v>1</v>
      </c>
      <c r="AE81">
        <f>COUNTIF(messy_ecommerce_sales_data__2[Order_ID],'01_Raw'!C83)</f>
        <v>1</v>
      </c>
      <c r="AG81">
        <f t="shared" si="6"/>
        <v>266.48</v>
      </c>
      <c r="AH81" t="str">
        <f>IF(AG81='01_Raw'!K82,"OK","Mismatch")</f>
        <v>Mismatch</v>
      </c>
      <c r="AJ81">
        <f t="shared" si="7"/>
        <v>266.48</v>
      </c>
      <c r="AK81" t="str">
        <f t="shared" si="8"/>
        <v>OK</v>
      </c>
    </row>
    <row r="82" spans="1:37" x14ac:dyDescent="0.3">
      <c r="A82">
        <f>'01_Raw'!A83</f>
        <v>181</v>
      </c>
      <c r="B82" t="str">
        <f>TRIM('01_Raw'!B83)</f>
        <v>Customer_181</v>
      </c>
      <c r="D82" s="1">
        <f t="shared" si="9"/>
        <v>45655</v>
      </c>
      <c r="E82" t="str">
        <f>TRIM('01_Raw'!E83)</f>
        <v>Smartphone</v>
      </c>
      <c r="F82" t="str">
        <f>IF(PROPER(TRIM('01_Raw'!F83))="Electronic","Electronics",PROPER(TRIM('01_Raw'!F83)))</f>
        <v>Nan</v>
      </c>
      <c r="I82" t="str">
        <f>TRIM('01_Raw'!I83)</f>
        <v>Cash on Delivery</v>
      </c>
      <c r="J82" t="str">
        <f>TRIM('01_Raw'!J83)</f>
        <v>Cancelled</v>
      </c>
      <c r="N82" t="b">
        <f>ISNUMBER('01_Raw'!D84)</f>
        <v>0</v>
      </c>
      <c r="P82" t="str">
        <f>LEFT('01_Raw'!D84, FIND("/",'01_Raw'!D84) - 1)</f>
        <v>8</v>
      </c>
      <c r="Q82" t="str">
        <f>IFERROR(RIGHT('01_Raw'!D84,4),"Invalid")</f>
        <v>2025</v>
      </c>
      <c r="R82" t="str">
        <f>MID('01_Raw'!D84,FIND("/",'01_Raw'!D84) + 1,FIND("/",'01_Raw'!D84,FIND("/",'01_Raw'!D84)+1)-FIND("/",'01_Raw'!D84)-1)</f>
        <v>3</v>
      </c>
      <c r="S82" s="1">
        <f t="shared" si="5"/>
        <v>45872</v>
      </c>
      <c r="U82">
        <f>IFERROR(VALUE(SUBSTITUTE(SUBSTITUTE('01_Raw'!H84,"$",""), ".",",")),"Invalid")</f>
        <v>538.35</v>
      </c>
      <c r="V82">
        <f>IFERROR(VALUE('01_Raw'!G84), "Invalid")</f>
        <v>4</v>
      </c>
      <c r="X82">
        <f>IF(ISBLANK('01_Raw'!H84),"Missing", IFERROR(VALUE(SUBSTITUTE(SUBSTITUTE('01_Raw'!H84,"$",""), ".",",")),"Invalid"))</f>
        <v>538.35</v>
      </c>
      <c r="Y82">
        <f>IF(LEN(TRIM('01_Raw'!H84)) = 0, "Missing",IFERROR(VALUE(SUBSTITUTE(SUBSTITUTE('01_Raw'!H84,"$",""), ".",",")),"Invalid"))</f>
        <v>538.35</v>
      </c>
      <c r="AA82">
        <f>IF(LEN(TRIM('01_Raw'!G84)) = 0, "Missing",IFERROR(VALUE(SUBSTITUTE(SUBSTITUTE('01_Raw'!G84,"$",""), ".",",")),"Invalid"))</f>
        <v>4</v>
      </c>
      <c r="AC82">
        <f>COUNTIF($A$2:$A$103,A83)</f>
        <v>1</v>
      </c>
      <c r="AE82">
        <f>COUNTIF(messy_ecommerce_sales_data__2[Order_ID],'01_Raw'!C84)</f>
        <v>1</v>
      </c>
      <c r="AG82">
        <f t="shared" si="6"/>
        <v>2153.4</v>
      </c>
      <c r="AH82" t="str">
        <f>IF(AG82='01_Raw'!K83,"OK","Mismatch")</f>
        <v>Mismatch</v>
      </c>
      <c r="AJ82">
        <f t="shared" si="7"/>
        <v>2153.4</v>
      </c>
      <c r="AK82" t="str">
        <f t="shared" si="8"/>
        <v>OK</v>
      </c>
    </row>
    <row r="83" spans="1:37" x14ac:dyDescent="0.3">
      <c r="A83">
        <f>'01_Raw'!A84</f>
        <v>182</v>
      </c>
      <c r="B83" t="str">
        <f>TRIM('01_Raw'!B84)</f>
        <v>Customer_182</v>
      </c>
      <c r="D83" s="1">
        <f t="shared" si="9"/>
        <v>45872</v>
      </c>
      <c r="E83" t="str">
        <f>TRIM('01_Raw'!E84)</f>
        <v>Shoes</v>
      </c>
      <c r="F83" t="str">
        <f>IF(PROPER(TRIM('01_Raw'!F84))="Electronic","Electronics",PROPER(TRIM('01_Raw'!F84)))</f>
        <v/>
      </c>
      <c r="I83" t="str">
        <f>TRIM('01_Raw'!I84)</f>
        <v>PayPal</v>
      </c>
      <c r="J83" t="str">
        <f>TRIM('01_Raw'!J84)</f>
        <v>Processing</v>
      </c>
      <c r="N83" t="b">
        <f>ISNUMBER('01_Raw'!D85)</f>
        <v>0</v>
      </c>
      <c r="P83" t="str">
        <f>LEFT('01_Raw'!D85, FIND("/",'01_Raw'!D85) - 1)</f>
        <v>3</v>
      </c>
      <c r="Q83" t="str">
        <f>IFERROR(RIGHT('01_Raw'!D85,4),"Invalid")</f>
        <v>2025</v>
      </c>
      <c r="R83" t="str">
        <f>MID('01_Raw'!D85,FIND("/",'01_Raw'!D85) + 1,FIND("/",'01_Raw'!D85,FIND("/",'01_Raw'!D85)+1)-FIND("/",'01_Raw'!D85)-1)</f>
        <v>10</v>
      </c>
      <c r="S83" s="1">
        <f t="shared" si="5"/>
        <v>45726</v>
      </c>
      <c r="U83" t="str">
        <f>IFERROR(VALUE(SUBSTITUTE(SUBSTITUTE('01_Raw'!H85,"$",""), ".",",")),"Invalid")</f>
        <v>Invalid</v>
      </c>
      <c r="V83">
        <f>IFERROR(VALUE('01_Raw'!G85), "Invalid")</f>
        <v>5</v>
      </c>
      <c r="X83" t="str">
        <f>IF(ISBLANK('01_Raw'!H85),"Missing", IFERROR(VALUE(SUBSTITUTE(SUBSTITUTE('01_Raw'!H85,"$",""), ".",",")),"Invalid"))</f>
        <v>Invalid</v>
      </c>
      <c r="Y83" t="str">
        <f>IF(LEN(TRIM('01_Raw'!H85)) = 0, "Missing",IFERROR(VALUE(SUBSTITUTE(SUBSTITUTE('01_Raw'!H85,"$",""), ".",",")),"Invalid"))</f>
        <v>Missing</v>
      </c>
      <c r="AA83">
        <f>IF(LEN(TRIM('01_Raw'!G85)) = 0, "Missing",IFERROR(VALUE(SUBSTITUTE(SUBSTITUTE('01_Raw'!G85,"$",""), ".",",")),"Invalid"))</f>
        <v>5</v>
      </c>
      <c r="AC83">
        <f>COUNTIF($A$2:$A$103,A84)</f>
        <v>1</v>
      </c>
      <c r="AE83">
        <f>COUNTIF(messy_ecommerce_sales_data__2[Order_ID],'01_Raw'!C85)</f>
        <v>1</v>
      </c>
      <c r="AG83" t="str">
        <f t="shared" si="6"/>
        <v>Cannot Calculate</v>
      </c>
      <c r="AH83" t="str">
        <f>IF(AG83='01_Raw'!K84,"OK","Mismatch")</f>
        <v>Mismatch</v>
      </c>
      <c r="AJ83" t="str">
        <f t="shared" si="7"/>
        <v>Invalid</v>
      </c>
      <c r="AK83" t="str">
        <f t="shared" si="8"/>
        <v>Mismatch</v>
      </c>
    </row>
    <row r="84" spans="1:37" x14ac:dyDescent="0.3">
      <c r="A84">
        <f>'01_Raw'!A85</f>
        <v>183</v>
      </c>
      <c r="B84" t="str">
        <f>TRIM('01_Raw'!B85)</f>
        <v>Customer_183</v>
      </c>
      <c r="D84" s="1">
        <f t="shared" si="9"/>
        <v>45726</v>
      </c>
      <c r="E84" t="str">
        <f>TRIM('01_Raw'!E85)</f>
        <v>Shoes</v>
      </c>
      <c r="F84" t="str">
        <f>IF(PROPER(TRIM('01_Raw'!F85))="Electronic","Electronics",PROPER(TRIM('01_Raw'!F85)))</f>
        <v>Clothing</v>
      </c>
      <c r="I84" t="str">
        <f>TRIM('01_Raw'!I85)</f>
        <v>Cash on Delivery</v>
      </c>
      <c r="J84" t="str">
        <f>TRIM('01_Raw'!J85)</f>
        <v>Returned</v>
      </c>
      <c r="N84" t="b">
        <f>ISNUMBER('01_Raw'!D86)</f>
        <v>0</v>
      </c>
      <c r="P84" t="str">
        <f>LEFT('01_Raw'!D86, FIND("/",'01_Raw'!D86) - 1)</f>
        <v>2</v>
      </c>
      <c r="Q84" t="str">
        <f>IFERROR(RIGHT('01_Raw'!D86,4),"Invalid")</f>
        <v>2025</v>
      </c>
      <c r="R84" t="str">
        <f>MID('01_Raw'!D86,FIND("/",'01_Raw'!D86) + 1,FIND("/",'01_Raw'!D86,FIND("/",'01_Raw'!D86)+1)-FIND("/",'01_Raw'!D86)-1)</f>
        <v>15</v>
      </c>
      <c r="S84" s="1">
        <f t="shared" si="5"/>
        <v>45703</v>
      </c>
      <c r="U84">
        <f>IFERROR(VALUE(SUBSTITUTE(SUBSTITUTE('01_Raw'!H86,"$",""), ".",",")),"Invalid")</f>
        <v>101.19</v>
      </c>
      <c r="V84">
        <f>IFERROR(VALUE('01_Raw'!G86), "Invalid")</f>
        <v>4</v>
      </c>
      <c r="X84">
        <f>IF(ISBLANK('01_Raw'!H86),"Missing", IFERROR(VALUE(SUBSTITUTE(SUBSTITUTE('01_Raw'!H86,"$",""), ".",",")),"Invalid"))</f>
        <v>101.19</v>
      </c>
      <c r="Y84">
        <f>IF(LEN(TRIM('01_Raw'!H86)) = 0, "Missing",IFERROR(VALUE(SUBSTITUTE(SUBSTITUTE('01_Raw'!H86,"$",""), ".",",")),"Invalid"))</f>
        <v>101.19</v>
      </c>
      <c r="AA84">
        <f>IF(LEN(TRIM('01_Raw'!G86)) = 0, "Missing",IFERROR(VALUE(SUBSTITUTE(SUBSTITUTE('01_Raw'!G86,"$",""), ".",",")),"Invalid"))</f>
        <v>4</v>
      </c>
      <c r="AC84">
        <f>COUNTIF($A$2:$A$103,A85)</f>
        <v>1</v>
      </c>
      <c r="AE84">
        <f>COUNTIF(messy_ecommerce_sales_data__2[Order_ID],'01_Raw'!C86)</f>
        <v>1</v>
      </c>
      <c r="AG84">
        <f t="shared" si="6"/>
        <v>404.76</v>
      </c>
      <c r="AH84" t="str">
        <f>IF(AG84='01_Raw'!K85,"OK","Mismatch")</f>
        <v>Mismatch</v>
      </c>
      <c r="AJ84">
        <f t="shared" si="7"/>
        <v>404.76</v>
      </c>
      <c r="AK84" t="str">
        <f t="shared" si="8"/>
        <v>OK</v>
      </c>
    </row>
    <row r="85" spans="1:37" x14ac:dyDescent="0.3">
      <c r="A85">
        <f>'01_Raw'!A86</f>
        <v>184</v>
      </c>
      <c r="B85" t="str">
        <f>TRIM('01_Raw'!B86)</f>
        <v>Customer_184</v>
      </c>
      <c r="D85" s="1">
        <f t="shared" si="9"/>
        <v>45703</v>
      </c>
      <c r="E85" t="str">
        <f>TRIM('01_Raw'!E86)</f>
        <v>Jeans</v>
      </c>
      <c r="F85" t="str">
        <f>IF(PROPER(TRIM('01_Raw'!F86))="Electronic","Electronics",PROPER(TRIM('01_Raw'!F86)))</f>
        <v/>
      </c>
      <c r="I85" t="str">
        <f>TRIM('01_Raw'!I86)</f>
        <v>Bank Transfer</v>
      </c>
      <c r="J85" t="str">
        <f>TRIM('01_Raw'!J86)</f>
        <v>Processing</v>
      </c>
      <c r="N85" t="b">
        <f>ISNUMBER('01_Raw'!D87)</f>
        <v>0</v>
      </c>
      <c r="P85" t="str">
        <f>LEFT('01_Raw'!D87, FIND("/",'01_Raw'!D87) - 1)</f>
        <v>8</v>
      </c>
      <c r="Q85" t="str">
        <f>IFERROR(RIGHT('01_Raw'!D87,4),"Invalid")</f>
        <v>2025</v>
      </c>
      <c r="R85" t="str">
        <f>MID('01_Raw'!D87,FIND("/",'01_Raw'!D87) + 1,FIND("/",'01_Raw'!D87,FIND("/",'01_Raw'!D87)+1)-FIND("/",'01_Raw'!D87)-1)</f>
        <v>14</v>
      </c>
      <c r="S85" s="1">
        <f t="shared" si="5"/>
        <v>45883</v>
      </c>
      <c r="U85">
        <f>IFERROR(VALUE(SUBSTITUTE(SUBSTITUTE('01_Raw'!H87,"$",""), ".",",")),"Invalid")</f>
        <v>730.92</v>
      </c>
      <c r="V85">
        <f>IFERROR(VALUE('01_Raw'!G87), "Invalid")</f>
        <v>2</v>
      </c>
      <c r="X85">
        <f>IF(ISBLANK('01_Raw'!H87),"Missing", IFERROR(VALUE(SUBSTITUTE(SUBSTITUTE('01_Raw'!H87,"$",""), ".",",")),"Invalid"))</f>
        <v>730.92</v>
      </c>
      <c r="Y85">
        <f>IF(LEN(TRIM('01_Raw'!H87)) = 0, "Missing",IFERROR(VALUE(SUBSTITUTE(SUBSTITUTE('01_Raw'!H87,"$",""), ".",",")),"Invalid"))</f>
        <v>730.92</v>
      </c>
      <c r="AA85">
        <f>IF(LEN(TRIM('01_Raw'!G87)) = 0, "Missing",IFERROR(VALUE(SUBSTITUTE(SUBSTITUTE('01_Raw'!G87,"$",""), ".",",")),"Invalid"))</f>
        <v>2</v>
      </c>
      <c r="AC85">
        <f>COUNTIF($A$2:$A$103,A86)</f>
        <v>1</v>
      </c>
      <c r="AE85">
        <f>COUNTIF(messy_ecommerce_sales_data__2[Order_ID],'01_Raw'!C87)</f>
        <v>1</v>
      </c>
      <c r="AG85">
        <f t="shared" si="6"/>
        <v>1461.84</v>
      </c>
      <c r="AH85" t="str">
        <f>IF(AG85='01_Raw'!K86,"OK","Mismatch")</f>
        <v>Mismatch</v>
      </c>
      <c r="AJ85">
        <f t="shared" si="7"/>
        <v>1461.84</v>
      </c>
      <c r="AK85" t="str">
        <f t="shared" si="8"/>
        <v>OK</v>
      </c>
    </row>
    <row r="86" spans="1:37" x14ac:dyDescent="0.3">
      <c r="A86">
        <f>'01_Raw'!A87</f>
        <v>185</v>
      </c>
      <c r="B86" t="str">
        <f>TRIM('01_Raw'!B87)</f>
        <v>Customer_185</v>
      </c>
      <c r="D86" s="1">
        <f t="shared" si="9"/>
        <v>45883</v>
      </c>
      <c r="E86" t="str">
        <f>TRIM('01_Raw'!E87)</f>
        <v>Football</v>
      </c>
      <c r="F86" t="str">
        <f>IF(PROPER(TRIM('01_Raw'!F87))="Electronic","Electronics",PROPER(TRIM('01_Raw'!F87)))</f>
        <v>Sports</v>
      </c>
      <c r="I86" t="str">
        <f>TRIM('01_Raw'!I87)</f>
        <v>Cash on Delivery</v>
      </c>
      <c r="J86" t="str">
        <f>TRIM('01_Raw'!J87)</f>
        <v>Cancelled</v>
      </c>
      <c r="N86" t="b">
        <f>ISNUMBER('01_Raw'!D88)</f>
        <v>0</v>
      </c>
      <c r="P86" t="str">
        <f>LEFT('01_Raw'!D88, FIND("/",'01_Raw'!D88) - 1)</f>
        <v>10</v>
      </c>
      <c r="Q86" t="str">
        <f>IFERROR(RIGHT('01_Raw'!D88,4),"Invalid")</f>
        <v>2025</v>
      </c>
      <c r="R86" t="str">
        <f>MID('01_Raw'!D88,FIND("/",'01_Raw'!D88) + 1,FIND("/",'01_Raw'!D88,FIND("/",'01_Raw'!D88)+1)-FIND("/",'01_Raw'!D88)-1)</f>
        <v>6</v>
      </c>
      <c r="S86" s="1">
        <f t="shared" si="5"/>
        <v>45936</v>
      </c>
      <c r="U86">
        <f>IFERROR(VALUE(SUBSTITUTE(SUBSTITUTE('01_Raw'!H88,"$",""), ".",",")),"Invalid")</f>
        <v>365.34</v>
      </c>
      <c r="V86">
        <f>IFERROR(VALUE('01_Raw'!G88), "Invalid")</f>
        <v>1</v>
      </c>
      <c r="X86">
        <f>IF(ISBLANK('01_Raw'!H88),"Missing", IFERROR(VALUE(SUBSTITUTE(SUBSTITUTE('01_Raw'!H88,"$",""), ".",",")),"Invalid"))</f>
        <v>365.34</v>
      </c>
      <c r="Y86">
        <f>IF(LEN(TRIM('01_Raw'!H88)) = 0, "Missing",IFERROR(VALUE(SUBSTITUTE(SUBSTITUTE('01_Raw'!H88,"$",""), ".",",")),"Invalid"))</f>
        <v>365.34</v>
      </c>
      <c r="AA86">
        <f>IF(LEN(TRIM('01_Raw'!G88)) = 0, "Missing",IFERROR(VALUE(SUBSTITUTE(SUBSTITUTE('01_Raw'!G88,"$",""), ".",",")),"Invalid"))</f>
        <v>1</v>
      </c>
      <c r="AC86">
        <f>COUNTIF($A$2:$A$103,A87)</f>
        <v>1</v>
      </c>
      <c r="AE86">
        <f>COUNTIF(messy_ecommerce_sales_data__2[Order_ID],'01_Raw'!C88)</f>
        <v>1</v>
      </c>
      <c r="AG86">
        <f t="shared" si="6"/>
        <v>365.34</v>
      </c>
      <c r="AH86" t="str">
        <f>IF(AG86='01_Raw'!K87,"OK","Mismatch")</f>
        <v>Mismatch</v>
      </c>
      <c r="AJ86">
        <f t="shared" si="7"/>
        <v>365.34</v>
      </c>
      <c r="AK86" t="str">
        <f t="shared" si="8"/>
        <v>OK</v>
      </c>
    </row>
    <row r="87" spans="1:37" x14ac:dyDescent="0.3">
      <c r="A87">
        <f>'01_Raw'!A88</f>
        <v>186</v>
      </c>
      <c r="B87" t="str">
        <f>TRIM('01_Raw'!B88)</f>
        <v>Customer_186</v>
      </c>
      <c r="D87" s="1">
        <f t="shared" si="9"/>
        <v>45936</v>
      </c>
      <c r="E87" t="str">
        <f>TRIM('01_Raw'!E88)</f>
        <v>Laptop</v>
      </c>
      <c r="F87" t="str">
        <f>IF(PROPER(TRIM('01_Raw'!F88))="Electronic","Electronics",PROPER(TRIM('01_Raw'!F88)))</f>
        <v>Electronics</v>
      </c>
      <c r="I87" t="str">
        <f>TRIM('01_Raw'!I88)</f>
        <v>Bank Transfer</v>
      </c>
      <c r="J87" t="str">
        <f>TRIM('01_Raw'!J88)</f>
        <v>Delivered</v>
      </c>
      <c r="N87" t="b">
        <f>ISNUMBER('01_Raw'!D89)</f>
        <v>0</v>
      </c>
      <c r="P87" t="str">
        <f>LEFT('01_Raw'!D89, FIND("/",'01_Raw'!D89) - 1)</f>
        <v>11</v>
      </c>
      <c r="Q87" t="str">
        <f>IFERROR(RIGHT('01_Raw'!D89,4),"Invalid")</f>
        <v>2024</v>
      </c>
      <c r="R87" t="str">
        <f>MID('01_Raw'!D89,FIND("/",'01_Raw'!D89) + 1,FIND("/",'01_Raw'!D89,FIND("/",'01_Raw'!D89)+1)-FIND("/",'01_Raw'!D89)-1)</f>
        <v>19</v>
      </c>
      <c r="S87" s="1">
        <f t="shared" si="5"/>
        <v>45615</v>
      </c>
      <c r="U87">
        <f>IFERROR(VALUE(SUBSTITUTE(SUBSTITUTE('01_Raw'!H89,"$",""), ".",",")),"Invalid")</f>
        <v>882.96</v>
      </c>
      <c r="V87">
        <f>IFERROR(VALUE('01_Raw'!G89), "Invalid")</f>
        <v>3</v>
      </c>
      <c r="X87">
        <f>IF(ISBLANK('01_Raw'!H89),"Missing", IFERROR(VALUE(SUBSTITUTE(SUBSTITUTE('01_Raw'!H89,"$",""), ".",",")),"Invalid"))</f>
        <v>882.96</v>
      </c>
      <c r="Y87">
        <f>IF(LEN(TRIM('01_Raw'!H89)) = 0, "Missing",IFERROR(VALUE(SUBSTITUTE(SUBSTITUTE('01_Raw'!H89,"$",""), ".",",")),"Invalid"))</f>
        <v>882.96</v>
      </c>
      <c r="AA87">
        <f>IF(LEN(TRIM('01_Raw'!G89)) = 0, "Missing",IFERROR(VALUE(SUBSTITUTE(SUBSTITUTE('01_Raw'!G89,"$",""), ".",",")),"Invalid"))</f>
        <v>3</v>
      </c>
      <c r="AC87">
        <f>COUNTIF($A$2:$A$103,A88)</f>
        <v>1</v>
      </c>
      <c r="AE87">
        <f>COUNTIF(messy_ecommerce_sales_data__2[Order_ID],'01_Raw'!C89)</f>
        <v>1</v>
      </c>
      <c r="AG87">
        <f t="shared" si="6"/>
        <v>2648.88</v>
      </c>
      <c r="AH87" t="str">
        <f>IF(AG87='01_Raw'!K88,"OK","Mismatch")</f>
        <v>Mismatch</v>
      </c>
      <c r="AJ87">
        <f t="shared" si="7"/>
        <v>2648.88</v>
      </c>
      <c r="AK87" t="str">
        <f t="shared" si="8"/>
        <v>OK</v>
      </c>
    </row>
    <row r="88" spans="1:37" x14ac:dyDescent="0.3">
      <c r="A88">
        <f>'01_Raw'!A89</f>
        <v>187</v>
      </c>
      <c r="B88" t="str">
        <f>TRIM('01_Raw'!B89)</f>
        <v>Customer_187</v>
      </c>
      <c r="D88" s="1">
        <f t="shared" si="9"/>
        <v>45615</v>
      </c>
      <c r="E88" t="str">
        <f>TRIM('01_Raw'!E89)</f>
        <v>Smartphone</v>
      </c>
      <c r="F88" t="str">
        <f>IF(PROPER(TRIM('01_Raw'!F89))="Electronic","Electronics",PROPER(TRIM('01_Raw'!F89)))</f>
        <v>Electronics</v>
      </c>
      <c r="I88" t="str">
        <f>TRIM('01_Raw'!I89)</f>
        <v>Bank Transfer</v>
      </c>
      <c r="J88" t="str">
        <f>TRIM('01_Raw'!J89)</f>
        <v>Returned</v>
      </c>
      <c r="N88" t="b">
        <f>ISNUMBER('01_Raw'!D90)</f>
        <v>0</v>
      </c>
      <c r="P88" t="str">
        <f>LEFT('01_Raw'!D90, FIND("/",'01_Raw'!D90) - 1)</f>
        <v>11</v>
      </c>
      <c r="Q88" t="str">
        <f>IFERROR(RIGHT('01_Raw'!D90,4),"Invalid")</f>
        <v>2024</v>
      </c>
      <c r="R88" t="str">
        <f>MID('01_Raw'!D90,FIND("/",'01_Raw'!D90) + 1,FIND("/",'01_Raw'!D90,FIND("/",'01_Raw'!D90)+1)-FIND("/",'01_Raw'!D90)-1)</f>
        <v>19</v>
      </c>
      <c r="S88" s="1">
        <f t="shared" si="5"/>
        <v>45615</v>
      </c>
      <c r="U88">
        <f>IFERROR(VALUE(SUBSTITUTE(SUBSTITUTE('01_Raw'!H90,"$",""), ".",",")),"Invalid")</f>
        <v>504.05</v>
      </c>
      <c r="V88">
        <f>IFERROR(VALUE('01_Raw'!G90), "Invalid")</f>
        <v>5</v>
      </c>
      <c r="X88">
        <f>IF(ISBLANK('01_Raw'!H90),"Missing", IFERROR(VALUE(SUBSTITUTE(SUBSTITUTE('01_Raw'!H90,"$",""), ".",",")),"Invalid"))</f>
        <v>504.05</v>
      </c>
      <c r="Y88">
        <f>IF(LEN(TRIM('01_Raw'!H90)) = 0, "Missing",IFERROR(VALUE(SUBSTITUTE(SUBSTITUTE('01_Raw'!H90,"$",""), ".",",")),"Invalid"))</f>
        <v>504.05</v>
      </c>
      <c r="AA88">
        <f>IF(LEN(TRIM('01_Raw'!G90)) = 0, "Missing",IFERROR(VALUE(SUBSTITUTE(SUBSTITUTE('01_Raw'!G90,"$",""), ".",",")),"Invalid"))</f>
        <v>5</v>
      </c>
      <c r="AC88">
        <f>COUNTIF($A$2:$A$103,A89)</f>
        <v>1</v>
      </c>
      <c r="AE88">
        <f>COUNTIF(messy_ecommerce_sales_data__2[Order_ID],'01_Raw'!C90)</f>
        <v>1</v>
      </c>
      <c r="AG88">
        <f t="shared" si="6"/>
        <v>2520.25</v>
      </c>
      <c r="AH88" t="str">
        <f>IF(AG88='01_Raw'!K89,"OK","Mismatch")</f>
        <v>Mismatch</v>
      </c>
      <c r="AJ88">
        <f t="shared" si="7"/>
        <v>2520.25</v>
      </c>
      <c r="AK88" t="str">
        <f t="shared" si="8"/>
        <v>OK</v>
      </c>
    </row>
    <row r="89" spans="1:37" x14ac:dyDescent="0.3">
      <c r="A89">
        <f>'01_Raw'!A90</f>
        <v>188</v>
      </c>
      <c r="B89" t="str">
        <f>TRIM('01_Raw'!B90)</f>
        <v>Customer_188</v>
      </c>
      <c r="D89" s="1">
        <f t="shared" si="9"/>
        <v>45615</v>
      </c>
      <c r="E89" t="str">
        <f>TRIM('01_Raw'!E90)</f>
        <v>Microwave</v>
      </c>
      <c r="F89" t="str">
        <f>IF(PROPER(TRIM('01_Raw'!F90))="Electronic","Electronics",PROPER(TRIM('01_Raw'!F90)))</f>
        <v>Home</v>
      </c>
      <c r="I89" t="str">
        <f>TRIM('01_Raw'!I90)</f>
        <v>Cash on Delivery</v>
      </c>
      <c r="J89" t="str">
        <f>TRIM('01_Raw'!J90)</f>
        <v>Shipped</v>
      </c>
      <c r="N89" t="b">
        <f>ISNUMBER('01_Raw'!D91)</f>
        <v>0</v>
      </c>
      <c r="P89" t="str">
        <f>LEFT('01_Raw'!D91, FIND("/",'01_Raw'!D91) - 1)</f>
        <v>8</v>
      </c>
      <c r="Q89" t="str">
        <f>IFERROR(RIGHT('01_Raw'!D91,4),"Invalid")</f>
        <v>2025</v>
      </c>
      <c r="R89" t="str">
        <f>MID('01_Raw'!D91,FIND("/",'01_Raw'!D91) + 1,FIND("/",'01_Raw'!D91,FIND("/",'01_Raw'!D91)+1)-FIND("/",'01_Raw'!D91)-1)</f>
        <v>14</v>
      </c>
      <c r="S89" s="1">
        <f t="shared" si="5"/>
        <v>45883</v>
      </c>
      <c r="U89">
        <f>IFERROR(VALUE(SUBSTITUTE(SUBSTITUTE('01_Raw'!H91,"$",""), ".",",")),"Invalid")</f>
        <v>814.68</v>
      </c>
      <c r="V89">
        <f>IFERROR(VALUE('01_Raw'!G91), "Invalid")</f>
        <v>1</v>
      </c>
      <c r="X89">
        <f>IF(ISBLANK('01_Raw'!H91),"Missing", IFERROR(VALUE(SUBSTITUTE(SUBSTITUTE('01_Raw'!H91,"$",""), ".",",")),"Invalid"))</f>
        <v>814.68</v>
      </c>
      <c r="Y89">
        <f>IF(LEN(TRIM('01_Raw'!H91)) = 0, "Missing",IFERROR(VALUE(SUBSTITUTE(SUBSTITUTE('01_Raw'!H91,"$",""), ".",",")),"Invalid"))</f>
        <v>814.68</v>
      </c>
      <c r="AA89">
        <f>IF(LEN(TRIM('01_Raw'!G91)) = 0, "Missing",IFERROR(VALUE(SUBSTITUTE(SUBSTITUTE('01_Raw'!G91,"$",""), ".",",")),"Invalid"))</f>
        <v>1</v>
      </c>
      <c r="AC89">
        <f>COUNTIF($A$2:$A$103,A90)</f>
        <v>1</v>
      </c>
      <c r="AE89">
        <f>COUNTIF(messy_ecommerce_sales_data__2[Order_ID],'01_Raw'!C91)</f>
        <v>1</v>
      </c>
      <c r="AG89">
        <f t="shared" si="6"/>
        <v>814.68</v>
      </c>
      <c r="AH89" t="str">
        <f>IF(AG89='01_Raw'!K90,"OK","Mismatch")</f>
        <v>Mismatch</v>
      </c>
      <c r="AJ89">
        <f t="shared" si="7"/>
        <v>814.68</v>
      </c>
      <c r="AK89" t="str">
        <f t="shared" si="8"/>
        <v>OK</v>
      </c>
    </row>
    <row r="90" spans="1:37" x14ac:dyDescent="0.3">
      <c r="A90">
        <f>'01_Raw'!A91</f>
        <v>189</v>
      </c>
      <c r="B90" t="str">
        <f>TRIM('01_Raw'!B91)</f>
        <v>Customer_189</v>
      </c>
      <c r="D90" s="1">
        <f t="shared" si="9"/>
        <v>45883</v>
      </c>
      <c r="E90" t="str">
        <f>TRIM('01_Raw'!E91)</f>
        <v>Lamp</v>
      </c>
      <c r="F90" t="str">
        <f>IF(PROPER(TRIM('01_Raw'!F91))="Electronic","Electronics",PROPER(TRIM('01_Raw'!F91)))</f>
        <v>Home</v>
      </c>
      <c r="I90" t="str">
        <f>TRIM('01_Raw'!I91)</f>
        <v>Cash on Delivery</v>
      </c>
      <c r="J90" t="str">
        <f>TRIM('01_Raw'!J91)</f>
        <v>Returned</v>
      </c>
      <c r="N90" t="b">
        <f>ISNUMBER('01_Raw'!D92)</f>
        <v>0</v>
      </c>
      <c r="P90" t="str">
        <f>LEFT('01_Raw'!D92, FIND("/",'01_Raw'!D92) - 1)</f>
        <v>6</v>
      </c>
      <c r="Q90" t="str">
        <f>IFERROR(RIGHT('01_Raw'!D92,4),"Invalid")</f>
        <v>2025</v>
      </c>
      <c r="R90" t="str">
        <f>MID('01_Raw'!D92,FIND("/",'01_Raw'!D92) + 1,FIND("/",'01_Raw'!D92,FIND("/",'01_Raw'!D92)+1)-FIND("/",'01_Raw'!D92)-1)</f>
        <v>29</v>
      </c>
      <c r="S90" s="1">
        <f t="shared" si="5"/>
        <v>45837</v>
      </c>
      <c r="U90">
        <f>IFERROR(VALUE(SUBSTITUTE(SUBSTITUTE('01_Raw'!H92,"$",""), ".",",")),"Invalid")</f>
        <v>920.37</v>
      </c>
      <c r="V90">
        <f>IFERROR(VALUE('01_Raw'!G92), "Invalid")</f>
        <v>1</v>
      </c>
      <c r="X90">
        <f>IF(ISBLANK('01_Raw'!H92),"Missing", IFERROR(VALUE(SUBSTITUTE(SUBSTITUTE('01_Raw'!H92,"$",""), ".",",")),"Invalid"))</f>
        <v>920.37</v>
      </c>
      <c r="Y90">
        <f>IF(LEN(TRIM('01_Raw'!H92)) = 0, "Missing",IFERROR(VALUE(SUBSTITUTE(SUBSTITUTE('01_Raw'!H92,"$",""), ".",",")),"Invalid"))</f>
        <v>920.37</v>
      </c>
      <c r="AA90">
        <f>IF(LEN(TRIM('01_Raw'!G92)) = 0, "Missing",IFERROR(VALUE(SUBSTITUTE(SUBSTITUTE('01_Raw'!G92,"$",""), ".",",")),"Invalid"))</f>
        <v>1</v>
      </c>
      <c r="AC90">
        <f>COUNTIF($A$2:$A$103,A91)</f>
        <v>1</v>
      </c>
      <c r="AE90">
        <f>COUNTIF(messy_ecommerce_sales_data__2[Order_ID],'01_Raw'!C92)</f>
        <v>1</v>
      </c>
      <c r="AG90">
        <f t="shared" si="6"/>
        <v>920.37</v>
      </c>
      <c r="AH90" t="str">
        <f>IF(AG90='01_Raw'!K91,"OK","Mismatch")</f>
        <v>Mismatch</v>
      </c>
      <c r="AJ90">
        <f t="shared" si="7"/>
        <v>920.37</v>
      </c>
      <c r="AK90" t="str">
        <f t="shared" si="8"/>
        <v>OK</v>
      </c>
    </row>
    <row r="91" spans="1:37" x14ac:dyDescent="0.3">
      <c r="A91">
        <f>'01_Raw'!A92</f>
        <v>190</v>
      </c>
      <c r="B91" t="str">
        <f>TRIM('01_Raw'!B92)</f>
        <v>Customer_190</v>
      </c>
      <c r="D91" s="1">
        <f t="shared" si="9"/>
        <v>45837</v>
      </c>
      <c r="E91" t="str">
        <f>TRIM('01_Raw'!E92)</f>
        <v>Vacuum</v>
      </c>
      <c r="F91" t="str">
        <f>IF(PROPER(TRIM('01_Raw'!F92))="Electronic","Electronics",PROPER(TRIM('01_Raw'!F92)))</f>
        <v>Home</v>
      </c>
      <c r="I91" t="str">
        <f>TRIM('01_Raw'!I92)</f>
        <v>Bank Transfer</v>
      </c>
      <c r="J91" t="str">
        <f>TRIM('01_Raw'!J92)</f>
        <v>Processing</v>
      </c>
      <c r="N91" t="b">
        <f>ISNUMBER('01_Raw'!D93)</f>
        <v>0</v>
      </c>
      <c r="P91" t="str">
        <f>LEFT('01_Raw'!D93, FIND("/",'01_Raw'!D93) - 1)</f>
        <v>7</v>
      </c>
      <c r="Q91" t="str">
        <f>IFERROR(RIGHT('01_Raw'!D93,4),"Invalid")</f>
        <v>2025</v>
      </c>
      <c r="R91" t="str">
        <f>MID('01_Raw'!D93,FIND("/",'01_Raw'!D93) + 1,FIND("/",'01_Raw'!D93,FIND("/",'01_Raw'!D93)+1)-FIND("/",'01_Raw'!D93)-1)</f>
        <v>18</v>
      </c>
      <c r="S91" s="1">
        <f t="shared" si="5"/>
        <v>45856</v>
      </c>
      <c r="U91">
        <f>IFERROR(VALUE(SUBSTITUTE(SUBSTITUTE('01_Raw'!H93,"$",""), ".",",")),"Invalid")</f>
        <v>881.02</v>
      </c>
      <c r="V91">
        <f>IFERROR(VALUE('01_Raw'!G93), "Invalid")</f>
        <v>2</v>
      </c>
      <c r="X91">
        <f>IF(ISBLANK('01_Raw'!H93),"Missing", IFERROR(VALUE(SUBSTITUTE(SUBSTITUTE('01_Raw'!H93,"$",""), ".",",")),"Invalid"))</f>
        <v>881.02</v>
      </c>
      <c r="Y91">
        <f>IF(LEN(TRIM('01_Raw'!H93)) = 0, "Missing",IFERROR(VALUE(SUBSTITUTE(SUBSTITUTE('01_Raw'!H93,"$",""), ".",",")),"Invalid"))</f>
        <v>881.02</v>
      </c>
      <c r="AA91">
        <f>IF(LEN(TRIM('01_Raw'!G93)) = 0, "Missing",IFERROR(VALUE(SUBSTITUTE(SUBSTITUTE('01_Raw'!G93,"$",""), ".",",")),"Invalid"))</f>
        <v>2</v>
      </c>
      <c r="AC91">
        <f>COUNTIF($A$2:$A$103,A92)</f>
        <v>1</v>
      </c>
      <c r="AE91">
        <f>COUNTIF(messy_ecommerce_sales_data__2[Order_ID],'01_Raw'!C93)</f>
        <v>1</v>
      </c>
      <c r="AG91">
        <f t="shared" si="6"/>
        <v>1762.04</v>
      </c>
      <c r="AH91" t="str">
        <f>IF(AG91='01_Raw'!K92,"OK","Mismatch")</f>
        <v>Mismatch</v>
      </c>
      <c r="AJ91">
        <f t="shared" si="7"/>
        <v>1762.04</v>
      </c>
      <c r="AK91" t="str">
        <f t="shared" si="8"/>
        <v>OK</v>
      </c>
    </row>
    <row r="92" spans="1:37" x14ac:dyDescent="0.3">
      <c r="A92">
        <f>'01_Raw'!A93</f>
        <v>191</v>
      </c>
      <c r="B92" t="str">
        <f>TRIM('01_Raw'!B93)</f>
        <v>Customer_191</v>
      </c>
      <c r="D92" s="1">
        <f t="shared" si="9"/>
        <v>45856</v>
      </c>
      <c r="E92" t="str">
        <f>TRIM('01_Raw'!E93)</f>
        <v>Fiction</v>
      </c>
      <c r="F92" t="str">
        <f>IF(PROPER(TRIM('01_Raw'!F93))="Electronic","Electronics",PROPER(TRIM('01_Raw'!F93)))</f>
        <v>Books</v>
      </c>
      <c r="I92" t="str">
        <f>TRIM('01_Raw'!I93)</f>
        <v>Cash on Delivery</v>
      </c>
      <c r="J92" t="str">
        <f>TRIM('01_Raw'!J93)</f>
        <v>Returned</v>
      </c>
      <c r="N92" t="b">
        <f>ISNUMBER('01_Raw'!D94)</f>
        <v>0</v>
      </c>
      <c r="P92" t="e">
        <f>LEFT('01_Raw'!D94, FIND("/",'01_Raw'!D94) - 1)</f>
        <v>#VALUE!</v>
      </c>
      <c r="Q92" t="str">
        <f>IFERROR(RIGHT('01_Raw'!D94,4),"Invalid")</f>
        <v>abc</v>
      </c>
      <c r="R92" t="e">
        <f>MID('01_Raw'!D94,FIND("/",'01_Raw'!D94) + 1,FIND("/",'01_Raw'!D94,FIND("/",'01_Raw'!D94)+1)-FIND("/",'01_Raw'!D94)-1)</f>
        <v>#VALUE!</v>
      </c>
      <c r="S92" s="1" t="str">
        <f t="shared" si="5"/>
        <v>Invalid</v>
      </c>
      <c r="U92">
        <f>IFERROR(VALUE(SUBSTITUTE(SUBSTITUTE('01_Raw'!H94,"$",""), ".",",")),"Invalid")</f>
        <v>203.63</v>
      </c>
      <c r="V92" t="str">
        <f>IFERROR(VALUE('01_Raw'!G94), "Invalid")</f>
        <v>Invalid</v>
      </c>
      <c r="X92">
        <f>IF(ISBLANK('01_Raw'!H94),"Missing", IFERROR(VALUE(SUBSTITUTE(SUBSTITUTE('01_Raw'!H94,"$",""), ".",",")),"Invalid"))</f>
        <v>203.63</v>
      </c>
      <c r="Y92">
        <f>IF(LEN(TRIM('01_Raw'!H94)) = 0, "Missing",IFERROR(VALUE(SUBSTITUTE(SUBSTITUTE('01_Raw'!H94,"$",""), ".",",")),"Invalid"))</f>
        <v>203.63</v>
      </c>
      <c r="AA92" t="str">
        <f>IF(LEN(TRIM('01_Raw'!G94)) = 0, "Missing",IFERROR(VALUE(SUBSTITUTE(SUBSTITUTE('01_Raw'!G94,"$",""), ".",",")),"Invalid"))</f>
        <v>Invalid</v>
      </c>
      <c r="AC92">
        <f>COUNTIF($A$2:$A$103,A93)</f>
        <v>1</v>
      </c>
      <c r="AE92">
        <f>COUNTIF(messy_ecommerce_sales_data__2[Order_ID],'01_Raw'!C94)</f>
        <v>1</v>
      </c>
      <c r="AG92" t="str">
        <f t="shared" si="6"/>
        <v>Cannot Calculate</v>
      </c>
      <c r="AH92" t="str">
        <f>IF(AG92='01_Raw'!K93,"OK","Mismatch")</f>
        <v>Mismatch</v>
      </c>
      <c r="AJ92" t="str">
        <f t="shared" si="7"/>
        <v>Invalid</v>
      </c>
      <c r="AK92" t="str">
        <f t="shared" si="8"/>
        <v>Mismatch</v>
      </c>
    </row>
    <row r="93" spans="1:37" x14ac:dyDescent="0.3">
      <c r="A93">
        <f>'01_Raw'!A94</f>
        <v>192</v>
      </c>
      <c r="B93" t="str">
        <f>TRIM('01_Raw'!B94)</f>
        <v>Customer_192</v>
      </c>
      <c r="D93" s="1" t="str">
        <f t="shared" si="9"/>
        <v>Invalid</v>
      </c>
      <c r="E93" t="str">
        <f>TRIM('01_Raw'!E94)</f>
        <v>Jacket</v>
      </c>
      <c r="F93" t="str">
        <f>IF(PROPER(TRIM('01_Raw'!F94))="Electronic","Electronics",PROPER(TRIM('01_Raw'!F94)))</f>
        <v>Clothing</v>
      </c>
      <c r="I93" t="str">
        <f>TRIM('01_Raw'!I94)</f>
        <v>Credit Card</v>
      </c>
      <c r="J93" t="str">
        <f>TRIM('01_Raw'!J94)</f>
        <v>Returned</v>
      </c>
      <c r="N93" t="b">
        <f>ISNUMBER('01_Raw'!D95)</f>
        <v>0</v>
      </c>
      <c r="P93" t="str">
        <f>LEFT('01_Raw'!D95, FIND("/",'01_Raw'!D95) - 1)</f>
        <v>6</v>
      </c>
      <c r="Q93" t="str">
        <f>IFERROR(RIGHT('01_Raw'!D95,4),"Invalid")</f>
        <v>2025</v>
      </c>
      <c r="R93" t="str">
        <f>MID('01_Raw'!D95,FIND("/",'01_Raw'!D95) + 1,FIND("/",'01_Raw'!D95,FIND("/",'01_Raw'!D95)+1)-FIND("/",'01_Raw'!D95)-1)</f>
        <v>6</v>
      </c>
      <c r="S93" s="1">
        <f t="shared" si="5"/>
        <v>45814</v>
      </c>
      <c r="U93">
        <f>IFERROR(VALUE(SUBSTITUTE(SUBSTITUTE('01_Raw'!H95,"$",""), ".",",")),"Invalid")</f>
        <v>522.02</v>
      </c>
      <c r="V93" t="str">
        <f>IFERROR(VALUE('01_Raw'!G95), "Invalid")</f>
        <v>Invalid</v>
      </c>
      <c r="X93">
        <f>IF(ISBLANK('01_Raw'!H95),"Missing", IFERROR(VALUE(SUBSTITUTE(SUBSTITUTE('01_Raw'!H95,"$",""), ".",",")),"Invalid"))</f>
        <v>522.02</v>
      </c>
      <c r="Y93">
        <f>IF(LEN(TRIM('01_Raw'!H95)) = 0, "Missing",IFERROR(VALUE(SUBSTITUTE(SUBSTITUTE('01_Raw'!H95,"$",""), ".",",")),"Invalid"))</f>
        <v>522.02</v>
      </c>
      <c r="AA93" t="str">
        <f>IF(LEN(TRIM('01_Raw'!G95)) = 0, "Missing",IFERROR(VALUE(SUBSTITUTE(SUBSTITUTE('01_Raw'!G95,"$",""), ".",",")),"Invalid"))</f>
        <v>Missing</v>
      </c>
      <c r="AC93">
        <f>COUNTIF($A$2:$A$103,A94)</f>
        <v>1</v>
      </c>
      <c r="AE93">
        <f>COUNTIF(messy_ecommerce_sales_data__2[Order_ID],'01_Raw'!C95)</f>
        <v>1</v>
      </c>
      <c r="AG93" t="str">
        <f t="shared" si="6"/>
        <v>Cannot Calculate</v>
      </c>
      <c r="AH93" t="str">
        <f>IF(AG93='01_Raw'!K94,"OK","Mismatch")</f>
        <v>Mismatch</v>
      </c>
      <c r="AJ93" t="str">
        <f t="shared" si="7"/>
        <v>Invalid</v>
      </c>
      <c r="AK93" t="str">
        <f t="shared" si="8"/>
        <v>Mismatch</v>
      </c>
    </row>
    <row r="94" spans="1:37" x14ac:dyDescent="0.3">
      <c r="A94">
        <f>'01_Raw'!A95</f>
        <v>193</v>
      </c>
      <c r="B94" t="str">
        <f>TRIM('01_Raw'!B95)</f>
        <v>Customer_193</v>
      </c>
      <c r="D94" s="1">
        <f t="shared" si="9"/>
        <v>45814</v>
      </c>
      <c r="E94" t="str">
        <f>TRIM('01_Raw'!E95)</f>
        <v>Basketball</v>
      </c>
      <c r="F94" t="str">
        <f>IF(PROPER(TRIM('01_Raw'!F95))="Electronic","Electronics",PROPER(TRIM('01_Raw'!F95)))</f>
        <v/>
      </c>
      <c r="I94" t="str">
        <f>TRIM('01_Raw'!I95)</f>
        <v>PayPal</v>
      </c>
      <c r="J94" t="str">
        <f>TRIM('01_Raw'!J95)</f>
        <v>Shipped</v>
      </c>
      <c r="N94" t="b">
        <f>ISNUMBER('01_Raw'!D96)</f>
        <v>0</v>
      </c>
      <c r="P94" t="str">
        <f>LEFT('01_Raw'!D96, FIND("/",'01_Raw'!D96) - 1)</f>
        <v>2</v>
      </c>
      <c r="Q94" t="str">
        <f>IFERROR(RIGHT('01_Raw'!D96,4),"Invalid")</f>
        <v>2025</v>
      </c>
      <c r="R94" t="str">
        <f>MID('01_Raw'!D96,FIND("/",'01_Raw'!D96) + 1,FIND("/",'01_Raw'!D96,FIND("/",'01_Raw'!D96)+1)-FIND("/",'01_Raw'!D96)-1)</f>
        <v>10</v>
      </c>
      <c r="S94" s="1">
        <f t="shared" si="5"/>
        <v>45698</v>
      </c>
      <c r="U94">
        <f>IFERROR(VALUE(SUBSTITUTE(SUBSTITUTE('01_Raw'!H96,"$",""), ".",",")),"Invalid")</f>
        <v>944.54</v>
      </c>
      <c r="V94">
        <f>IFERROR(VALUE('01_Raw'!G96), "Invalid")</f>
        <v>5</v>
      </c>
      <c r="X94">
        <f>IF(ISBLANK('01_Raw'!H96),"Missing", IFERROR(VALUE(SUBSTITUTE(SUBSTITUTE('01_Raw'!H96,"$",""), ".",",")),"Invalid"))</f>
        <v>944.54</v>
      </c>
      <c r="Y94">
        <f>IF(LEN(TRIM('01_Raw'!H96)) = 0, "Missing",IFERROR(VALUE(SUBSTITUTE(SUBSTITUTE('01_Raw'!H96,"$",""), ".",",")),"Invalid"))</f>
        <v>944.54</v>
      </c>
      <c r="AA94">
        <f>IF(LEN(TRIM('01_Raw'!G96)) = 0, "Missing",IFERROR(VALUE(SUBSTITUTE(SUBSTITUTE('01_Raw'!G96,"$",""), ".",",")),"Invalid"))</f>
        <v>5</v>
      </c>
      <c r="AC94">
        <f>COUNTIF($A$2:$A$103,A95)</f>
        <v>1</v>
      </c>
      <c r="AE94">
        <f>COUNTIF(messy_ecommerce_sales_data__2[Order_ID],'01_Raw'!C96)</f>
        <v>1</v>
      </c>
      <c r="AG94">
        <f t="shared" si="6"/>
        <v>4722.7</v>
      </c>
      <c r="AH94" t="str">
        <f>IF(AG94='01_Raw'!K95,"OK","Mismatch")</f>
        <v>Mismatch</v>
      </c>
      <c r="AJ94">
        <f t="shared" si="7"/>
        <v>4722.7</v>
      </c>
      <c r="AK94" t="str">
        <f t="shared" si="8"/>
        <v>OK</v>
      </c>
    </row>
    <row r="95" spans="1:37" x14ac:dyDescent="0.3">
      <c r="A95">
        <f>'01_Raw'!A96</f>
        <v>194</v>
      </c>
      <c r="B95" t="str">
        <f>TRIM('01_Raw'!B96)</f>
        <v>Customer_194</v>
      </c>
      <c r="D95" s="1">
        <f t="shared" si="9"/>
        <v>45698</v>
      </c>
      <c r="E95" t="str">
        <f>TRIM('01_Raw'!E96)</f>
        <v>Lamp</v>
      </c>
      <c r="F95" t="str">
        <f>IF(PROPER(TRIM('01_Raw'!F96))="Electronic","Electronics",PROPER(TRIM('01_Raw'!F96)))</f>
        <v>Home</v>
      </c>
      <c r="I95" t="str">
        <f>TRIM('01_Raw'!I96)</f>
        <v>Cash on Delivery</v>
      </c>
      <c r="J95" t="str">
        <f>TRIM('01_Raw'!J96)</f>
        <v>Returned</v>
      </c>
      <c r="N95" t="b">
        <f>ISNUMBER('01_Raw'!D97)</f>
        <v>0</v>
      </c>
      <c r="P95" t="str">
        <f>LEFT('01_Raw'!D97, FIND("/",'01_Raw'!D97) - 1)</f>
        <v>6</v>
      </c>
      <c r="Q95" t="str">
        <f>IFERROR(RIGHT('01_Raw'!D97,4),"Invalid")</f>
        <v>2025</v>
      </c>
      <c r="R95" t="str">
        <f>MID('01_Raw'!D97,FIND("/",'01_Raw'!D97) + 1,FIND("/",'01_Raw'!D97,FIND("/",'01_Raw'!D97)+1)-FIND("/",'01_Raw'!D97)-1)</f>
        <v>19</v>
      </c>
      <c r="S95" s="1">
        <f t="shared" si="5"/>
        <v>45827</v>
      </c>
      <c r="U95">
        <f>IFERROR(VALUE(SUBSTITUTE(SUBSTITUTE('01_Raw'!H97,"$",""), ".",",")),"Invalid")</f>
        <v>817.46</v>
      </c>
      <c r="V95">
        <f>IFERROR(VALUE('01_Raw'!G97), "Invalid")</f>
        <v>5</v>
      </c>
      <c r="X95">
        <f>IF(ISBLANK('01_Raw'!H97),"Missing", IFERROR(VALUE(SUBSTITUTE(SUBSTITUTE('01_Raw'!H97,"$",""), ".",",")),"Invalid"))</f>
        <v>817.46</v>
      </c>
      <c r="Y95">
        <f>IF(LEN(TRIM('01_Raw'!H97)) = 0, "Missing",IFERROR(VALUE(SUBSTITUTE(SUBSTITUTE('01_Raw'!H97,"$",""), ".",",")),"Invalid"))</f>
        <v>817.46</v>
      </c>
      <c r="AA95">
        <f>IF(LEN(TRIM('01_Raw'!G97)) = 0, "Missing",IFERROR(VALUE(SUBSTITUTE(SUBSTITUTE('01_Raw'!G97,"$",""), ".",",")),"Invalid"))</f>
        <v>5</v>
      </c>
      <c r="AC95">
        <f>COUNTIF($A$2:$A$103,A96)</f>
        <v>1</v>
      </c>
      <c r="AE95">
        <f>COUNTIF(messy_ecommerce_sales_data__2[Order_ID],'01_Raw'!C97)</f>
        <v>1</v>
      </c>
      <c r="AG95">
        <f t="shared" si="6"/>
        <v>4087.3</v>
      </c>
      <c r="AH95" t="str">
        <f>IF(AG95='01_Raw'!K96,"OK","Mismatch")</f>
        <v>Mismatch</v>
      </c>
      <c r="AJ95">
        <f t="shared" si="7"/>
        <v>4087.3</v>
      </c>
      <c r="AK95" t="str">
        <f t="shared" si="8"/>
        <v>OK</v>
      </c>
    </row>
    <row r="96" spans="1:37" x14ac:dyDescent="0.3">
      <c r="A96">
        <f>'01_Raw'!A97</f>
        <v>195</v>
      </c>
      <c r="B96" t="str">
        <f>TRIM('01_Raw'!B97)</f>
        <v>Customer_195</v>
      </c>
      <c r="D96" s="1">
        <f t="shared" si="9"/>
        <v>45827</v>
      </c>
      <c r="E96" t="str">
        <f>TRIM('01_Raw'!E97)</f>
        <v>Biography</v>
      </c>
      <c r="F96" t="str">
        <f>IF(PROPER(TRIM('01_Raw'!F97))="Electronic","Electronics",PROPER(TRIM('01_Raw'!F97)))</f>
        <v>Books</v>
      </c>
      <c r="I96" t="str">
        <f>TRIM('01_Raw'!I97)</f>
        <v>Cash on Delivery</v>
      </c>
      <c r="J96" t="str">
        <f>TRIM('01_Raw'!J97)</f>
        <v>Returned</v>
      </c>
      <c r="N96" t="b">
        <f>ISNUMBER('01_Raw'!D98)</f>
        <v>0</v>
      </c>
      <c r="P96" t="str">
        <f>LEFT('01_Raw'!D98, FIND("/",'01_Raw'!D98) - 1)</f>
        <v>12</v>
      </c>
      <c r="Q96" t="str">
        <f>IFERROR(RIGHT('01_Raw'!D98,4),"Invalid")</f>
        <v>2024</v>
      </c>
      <c r="R96" t="str">
        <f>MID('01_Raw'!D98,FIND("/",'01_Raw'!D98) + 1,FIND("/",'01_Raw'!D98,FIND("/",'01_Raw'!D98)+1)-FIND("/",'01_Raw'!D98)-1)</f>
        <v>23</v>
      </c>
      <c r="S96" s="1">
        <f t="shared" si="5"/>
        <v>45649</v>
      </c>
      <c r="U96" t="str">
        <f>IFERROR(VALUE(SUBSTITUTE(SUBSTITUTE('01_Raw'!H98,"$",""), ".",",")),"Invalid")</f>
        <v>Invalid</v>
      </c>
      <c r="V96" t="str">
        <f>IFERROR(VALUE('01_Raw'!G98), "Invalid")</f>
        <v>Invalid</v>
      </c>
      <c r="X96" t="str">
        <f>IF(ISBLANK('01_Raw'!H98),"Missing", IFERROR(VALUE(SUBSTITUTE(SUBSTITUTE('01_Raw'!H98,"$",""), ".",",")),"Invalid"))</f>
        <v>Invalid</v>
      </c>
      <c r="Y96" t="str">
        <f>IF(LEN(TRIM('01_Raw'!H98)) = 0, "Missing",IFERROR(VALUE(SUBSTITUTE(SUBSTITUTE('01_Raw'!H98,"$",""), ".",",")),"Invalid"))</f>
        <v>Invalid</v>
      </c>
      <c r="AA96" t="str">
        <f>IF(LEN(TRIM('01_Raw'!G98)) = 0, "Missing",IFERROR(VALUE(SUBSTITUTE(SUBSTITUTE('01_Raw'!G98,"$",""), ".",",")),"Invalid"))</f>
        <v>Missing</v>
      </c>
      <c r="AC96">
        <f>COUNTIF($A$2:$A$103,A97)</f>
        <v>1</v>
      </c>
      <c r="AE96">
        <f>COUNTIF(messy_ecommerce_sales_data__2[Order_ID],'01_Raw'!C98)</f>
        <v>1</v>
      </c>
      <c r="AG96" t="str">
        <f t="shared" si="6"/>
        <v>Cannot Calculate</v>
      </c>
      <c r="AH96" t="str">
        <f>IF(AG96='01_Raw'!K97,"OK","Mismatch")</f>
        <v>Mismatch</v>
      </c>
      <c r="AJ96" t="str">
        <f t="shared" si="7"/>
        <v>Invalid</v>
      </c>
      <c r="AK96" t="str">
        <f t="shared" si="8"/>
        <v>Mismatch</v>
      </c>
    </row>
    <row r="97" spans="1:37" x14ac:dyDescent="0.3">
      <c r="A97">
        <f>'01_Raw'!A98</f>
        <v>196</v>
      </c>
      <c r="B97" t="str">
        <f>TRIM('01_Raw'!B98)</f>
        <v>Customer_196</v>
      </c>
      <c r="D97" s="1">
        <f t="shared" si="9"/>
        <v>45649</v>
      </c>
      <c r="E97" t="str">
        <f>TRIM('01_Raw'!E98)</f>
        <v>Vacuum</v>
      </c>
      <c r="F97" t="str">
        <f>IF(PROPER(TRIM('01_Raw'!F98))="Electronic","Electronics",PROPER(TRIM('01_Raw'!F98)))</f>
        <v>Home</v>
      </c>
      <c r="I97" t="str">
        <f>TRIM('01_Raw'!I98)</f>
        <v>PayPal</v>
      </c>
      <c r="J97" t="str">
        <f>TRIM('01_Raw'!J98)</f>
        <v>Delivered</v>
      </c>
      <c r="N97" t="b">
        <f>ISNUMBER('01_Raw'!D99)</f>
        <v>0</v>
      </c>
      <c r="P97" t="str">
        <f>LEFT('01_Raw'!D99, FIND("/",'01_Raw'!D99) - 1)</f>
        <v>6</v>
      </c>
      <c r="Q97" t="str">
        <f>IFERROR(RIGHT('01_Raw'!D99,4),"Invalid")</f>
        <v>2025</v>
      </c>
      <c r="R97" t="str">
        <f>MID('01_Raw'!D99,FIND("/",'01_Raw'!D99) + 1,FIND("/",'01_Raw'!D99,FIND("/",'01_Raw'!D99)+1)-FIND("/",'01_Raw'!D99)-1)</f>
        <v>23</v>
      </c>
      <c r="S97" s="1">
        <f t="shared" si="5"/>
        <v>45831</v>
      </c>
      <c r="U97">
        <f>IFERROR(VALUE(SUBSTITUTE(SUBSTITUTE('01_Raw'!H99,"$",""), ".",",")),"Invalid")</f>
        <v>160.16</v>
      </c>
      <c r="V97">
        <f>IFERROR(VALUE('01_Raw'!G99), "Invalid")</f>
        <v>1</v>
      </c>
      <c r="X97">
        <f>IF(ISBLANK('01_Raw'!H99),"Missing", IFERROR(VALUE(SUBSTITUTE(SUBSTITUTE('01_Raw'!H99,"$",""), ".",",")),"Invalid"))</f>
        <v>160.16</v>
      </c>
      <c r="Y97">
        <f>IF(LEN(TRIM('01_Raw'!H99)) = 0, "Missing",IFERROR(VALUE(SUBSTITUTE(SUBSTITUTE('01_Raw'!H99,"$",""), ".",",")),"Invalid"))</f>
        <v>160.16</v>
      </c>
      <c r="AA97">
        <f>IF(LEN(TRIM('01_Raw'!G99)) = 0, "Missing",IFERROR(VALUE(SUBSTITUTE(SUBSTITUTE('01_Raw'!G99,"$",""), ".",",")),"Invalid"))</f>
        <v>1</v>
      </c>
      <c r="AC97">
        <f>COUNTIF($A$2:$A$103,A98)</f>
        <v>1</v>
      </c>
      <c r="AE97">
        <f>COUNTIF(messy_ecommerce_sales_data__2[Order_ID],'01_Raw'!C99)</f>
        <v>1</v>
      </c>
      <c r="AG97">
        <f t="shared" si="6"/>
        <v>160.16</v>
      </c>
      <c r="AH97" t="str">
        <f>IF(AG97='01_Raw'!K98,"OK","Mismatch")</f>
        <v>Mismatch</v>
      </c>
      <c r="AJ97">
        <f t="shared" si="7"/>
        <v>160.16</v>
      </c>
      <c r="AK97" t="str">
        <f t="shared" si="8"/>
        <v>OK</v>
      </c>
    </row>
    <row r="98" spans="1:37" x14ac:dyDescent="0.3">
      <c r="A98">
        <f>'01_Raw'!A99</f>
        <v>197</v>
      </c>
      <c r="B98" t="str">
        <f>TRIM('01_Raw'!B99)</f>
        <v>Customer_197</v>
      </c>
      <c r="D98" s="1">
        <f t="shared" si="9"/>
        <v>45831</v>
      </c>
      <c r="E98" t="str">
        <f>TRIM('01_Raw'!E99)</f>
        <v>Blender</v>
      </c>
      <c r="F98" t="str">
        <f>IF(PROPER(TRIM('01_Raw'!F99))="Electronic","Electronics",PROPER(TRIM('01_Raw'!F99)))</f>
        <v>Home</v>
      </c>
      <c r="I98" t="str">
        <f>TRIM('01_Raw'!I99)</f>
        <v>PayPal</v>
      </c>
      <c r="J98" t="str">
        <f>TRIM('01_Raw'!J99)</f>
        <v>Cancelled</v>
      </c>
      <c r="N98" t="b">
        <f>ISNUMBER('01_Raw'!D100)</f>
        <v>0</v>
      </c>
      <c r="P98" t="str">
        <f>LEFT('01_Raw'!D100, FIND("/",'01_Raw'!D100) - 1)</f>
        <v>7</v>
      </c>
      <c r="Q98" t="str">
        <f>IFERROR(RIGHT('01_Raw'!D100,4),"Invalid")</f>
        <v>2025</v>
      </c>
      <c r="R98" t="str">
        <f>MID('01_Raw'!D100,FIND("/",'01_Raw'!D100) + 1,FIND("/",'01_Raw'!D100,FIND("/",'01_Raw'!D100)+1)-FIND("/",'01_Raw'!D100)-1)</f>
        <v>27</v>
      </c>
      <c r="S98" s="1">
        <f t="shared" si="5"/>
        <v>45865</v>
      </c>
      <c r="U98">
        <f>IFERROR(VALUE(SUBSTITUTE(SUBSTITUTE('01_Raw'!H100,"$",""), ".",",")),"Invalid")</f>
        <v>497.01</v>
      </c>
      <c r="V98">
        <f>IFERROR(VALUE('01_Raw'!G100), "Invalid")</f>
        <v>2</v>
      </c>
      <c r="X98">
        <f>IF(ISBLANK('01_Raw'!H100),"Missing", IFERROR(VALUE(SUBSTITUTE(SUBSTITUTE('01_Raw'!H100,"$",""), ".",",")),"Invalid"))</f>
        <v>497.01</v>
      </c>
      <c r="Y98">
        <f>IF(LEN(TRIM('01_Raw'!H100)) = 0, "Missing",IFERROR(VALUE(SUBSTITUTE(SUBSTITUTE('01_Raw'!H100,"$",""), ".",",")),"Invalid"))</f>
        <v>497.01</v>
      </c>
      <c r="AA98">
        <f>IF(LEN(TRIM('01_Raw'!G100)) = 0, "Missing",IFERROR(VALUE(SUBSTITUTE(SUBSTITUTE('01_Raw'!G100,"$",""), ".",",")),"Invalid"))</f>
        <v>2</v>
      </c>
      <c r="AC98">
        <f>COUNTIF($A$2:$A$103,A99)</f>
        <v>1</v>
      </c>
      <c r="AE98">
        <f>COUNTIF(messy_ecommerce_sales_data__2[Order_ID],'01_Raw'!C100)</f>
        <v>1</v>
      </c>
      <c r="AG98">
        <f t="shared" si="6"/>
        <v>994.02</v>
      </c>
      <c r="AH98" t="str">
        <f>IF(AG98='01_Raw'!K99,"OK","Mismatch")</f>
        <v>Mismatch</v>
      </c>
      <c r="AJ98">
        <f t="shared" si="7"/>
        <v>994.02</v>
      </c>
      <c r="AK98" t="str">
        <f t="shared" si="8"/>
        <v>OK</v>
      </c>
    </row>
    <row r="99" spans="1:37" x14ac:dyDescent="0.3">
      <c r="A99">
        <f>'01_Raw'!A100</f>
        <v>198</v>
      </c>
      <c r="B99" t="str">
        <f>TRIM('01_Raw'!B100)</f>
        <v>Customer_198</v>
      </c>
      <c r="D99" s="1">
        <f t="shared" si="9"/>
        <v>45865</v>
      </c>
      <c r="E99" t="str">
        <f>TRIM('01_Raw'!E100)</f>
        <v>Vacuum</v>
      </c>
      <c r="F99" t="str">
        <f>IF(PROPER(TRIM('01_Raw'!F100))="Electronic","Electronics",PROPER(TRIM('01_Raw'!F100)))</f>
        <v/>
      </c>
      <c r="I99" t="str">
        <f>TRIM('01_Raw'!I100)</f>
        <v>Cash on Delivery</v>
      </c>
      <c r="J99" t="str">
        <f>TRIM('01_Raw'!J100)</f>
        <v>Shipped</v>
      </c>
      <c r="N99" t="b">
        <f>ISNUMBER('01_Raw'!D101)</f>
        <v>0</v>
      </c>
      <c r="P99" t="str">
        <f>LEFT('01_Raw'!D101, FIND("/",'01_Raw'!D101) - 1)</f>
        <v>1</v>
      </c>
      <c r="Q99" t="str">
        <f>IFERROR(RIGHT('01_Raw'!D101,4),"Invalid")</f>
        <v>2025</v>
      </c>
      <c r="R99" t="str">
        <f>MID('01_Raw'!D101,FIND("/",'01_Raw'!D101) + 1,FIND("/",'01_Raw'!D101,FIND("/",'01_Raw'!D101)+1)-FIND("/",'01_Raw'!D101)-1)</f>
        <v>22</v>
      </c>
      <c r="S99" s="1">
        <f t="shared" si="5"/>
        <v>45679</v>
      </c>
      <c r="U99">
        <f>IFERROR(VALUE(SUBSTITUTE(SUBSTITUTE('01_Raw'!H101,"$",""), ".",",")),"Invalid")</f>
        <v>372.28</v>
      </c>
      <c r="V99">
        <f>IFERROR(VALUE('01_Raw'!G101), "Invalid")</f>
        <v>5</v>
      </c>
      <c r="X99">
        <f>IF(ISBLANK('01_Raw'!H101),"Missing", IFERROR(VALUE(SUBSTITUTE(SUBSTITUTE('01_Raw'!H101,"$",""), ".",",")),"Invalid"))</f>
        <v>372.28</v>
      </c>
      <c r="Y99">
        <f>IF(LEN(TRIM('01_Raw'!H101)) = 0, "Missing",IFERROR(VALUE(SUBSTITUTE(SUBSTITUTE('01_Raw'!H101,"$",""), ".",",")),"Invalid"))</f>
        <v>372.28</v>
      </c>
      <c r="AA99">
        <f>IF(LEN(TRIM('01_Raw'!G101)) = 0, "Missing",IFERROR(VALUE(SUBSTITUTE(SUBSTITUTE('01_Raw'!G101,"$",""), ".",",")),"Invalid"))</f>
        <v>5</v>
      </c>
      <c r="AC99">
        <f>COUNTIF($A$2:$A$103,A100)</f>
        <v>1</v>
      </c>
      <c r="AE99">
        <f>COUNTIF(messy_ecommerce_sales_data__2[Order_ID],'01_Raw'!C101)</f>
        <v>1</v>
      </c>
      <c r="AG99">
        <f t="shared" si="6"/>
        <v>1861.3999999999999</v>
      </c>
      <c r="AH99" t="str">
        <f>IF(AG99='01_Raw'!K100,"OK","Mismatch")</f>
        <v>Mismatch</v>
      </c>
      <c r="AJ99">
        <f t="shared" si="7"/>
        <v>1861.4</v>
      </c>
      <c r="AK99" t="str">
        <f t="shared" si="8"/>
        <v>OK</v>
      </c>
    </row>
    <row r="100" spans="1:37" x14ac:dyDescent="0.3">
      <c r="A100">
        <f>'01_Raw'!A101</f>
        <v>199</v>
      </c>
      <c r="B100" t="str">
        <f>TRIM('01_Raw'!B101)</f>
        <v>Customer_199</v>
      </c>
      <c r="D100" s="1">
        <f t="shared" si="9"/>
        <v>45679</v>
      </c>
      <c r="E100" t="str">
        <f>TRIM('01_Raw'!E101)</f>
        <v>Blender</v>
      </c>
      <c r="F100" t="str">
        <f>IF(PROPER(TRIM('01_Raw'!F101))="Electronic","Electronics",PROPER(TRIM('01_Raw'!F101)))</f>
        <v>Home</v>
      </c>
      <c r="I100" t="str">
        <f>TRIM('01_Raw'!I101)</f>
        <v>Credit Card</v>
      </c>
      <c r="J100" t="str">
        <f>TRIM('01_Raw'!J101)</f>
        <v>Shipped</v>
      </c>
      <c r="N100" t="b">
        <f>ISNUMBER('01_Raw'!D102)</f>
        <v>0</v>
      </c>
      <c r="P100" t="str">
        <f>LEFT('01_Raw'!D102, FIND("/",'01_Raw'!D102) - 1)</f>
        <v>2</v>
      </c>
      <c r="Q100" t="str">
        <f>IFERROR(RIGHT('01_Raw'!D102,4),"Invalid")</f>
        <v>2025</v>
      </c>
      <c r="R100" t="str">
        <f>MID('01_Raw'!D102,FIND("/",'01_Raw'!D102) + 1,FIND("/",'01_Raw'!D102,FIND("/",'01_Raw'!D102)+1)-FIND("/",'01_Raw'!D102)-1)</f>
        <v>24</v>
      </c>
      <c r="S100" s="1">
        <f t="shared" si="5"/>
        <v>45712</v>
      </c>
      <c r="U100">
        <f>IFERROR(VALUE(SUBSTITUTE(SUBSTITUTE('01_Raw'!H102,"$",""), ".",",")),"Invalid")</f>
        <v>111.36</v>
      </c>
      <c r="V100">
        <f>IFERROR(VALUE('01_Raw'!G102), "Invalid")</f>
        <v>1</v>
      </c>
      <c r="X100">
        <f>IF(ISBLANK('01_Raw'!H102),"Missing", IFERROR(VALUE(SUBSTITUTE(SUBSTITUTE('01_Raw'!H102,"$",""), ".",",")),"Invalid"))</f>
        <v>111.36</v>
      </c>
      <c r="Y100">
        <f>IF(LEN(TRIM('01_Raw'!H102)) = 0, "Missing",IFERROR(VALUE(SUBSTITUTE(SUBSTITUTE('01_Raw'!H102,"$",""), ".",",")),"Invalid"))</f>
        <v>111.36</v>
      </c>
      <c r="AA100">
        <f>IF(LEN(TRIM('01_Raw'!G102)) = 0, "Missing",IFERROR(VALUE(SUBSTITUTE(SUBSTITUTE('01_Raw'!G102,"$",""), ".",",")),"Invalid"))</f>
        <v>1</v>
      </c>
      <c r="AC100">
        <f>COUNTIF($A$2:$A$103,A101)</f>
        <v>2</v>
      </c>
      <c r="AE100">
        <f>COUNTIF(messy_ecommerce_sales_data__2[Order_ID],'01_Raw'!C102)</f>
        <v>2</v>
      </c>
      <c r="AG100">
        <f t="shared" si="6"/>
        <v>111.36</v>
      </c>
      <c r="AH100" t="str">
        <f>IF(AG100='01_Raw'!K101,"OK","Mismatch")</f>
        <v>Mismatch</v>
      </c>
      <c r="AJ100">
        <f t="shared" si="7"/>
        <v>111.36</v>
      </c>
      <c r="AK100" t="str">
        <f t="shared" si="8"/>
        <v>OK</v>
      </c>
    </row>
    <row r="101" spans="1:37" x14ac:dyDescent="0.3">
      <c r="A101">
        <f>'01_Raw'!A102</f>
        <v>175</v>
      </c>
      <c r="B101" t="str">
        <f>TRIM('01_Raw'!B102)</f>
        <v>Customer_175</v>
      </c>
      <c r="D101" s="1">
        <f t="shared" si="9"/>
        <v>45712</v>
      </c>
      <c r="E101" t="str">
        <f>TRIM('01_Raw'!E102)</f>
        <v>Headphones</v>
      </c>
      <c r="F101" t="str">
        <f>IF(PROPER(TRIM('01_Raw'!F102))="Electronic","Electronics",PROPER(TRIM('01_Raw'!F102)))</f>
        <v>Electronics</v>
      </c>
      <c r="I101" t="str">
        <f>TRIM('01_Raw'!I102)</f>
        <v>Credit Card</v>
      </c>
      <c r="J101" t="str">
        <f>TRIM('01_Raw'!J102)</f>
        <v>Processing</v>
      </c>
      <c r="N101" t="b">
        <f>ISNUMBER('01_Raw'!D103)</f>
        <v>0</v>
      </c>
      <c r="P101" t="str">
        <f>LEFT('01_Raw'!D103, FIND("/",'01_Raw'!D103) - 1)</f>
        <v>10</v>
      </c>
      <c r="Q101" t="str">
        <f>IFERROR(RIGHT('01_Raw'!D103,4),"Invalid")</f>
        <v>2025</v>
      </c>
      <c r="R101" t="str">
        <f>MID('01_Raw'!D103,FIND("/",'01_Raw'!D103) + 1,FIND("/",'01_Raw'!D103,FIND("/",'01_Raw'!D103)+1)-FIND("/",'01_Raw'!D103)-1)</f>
        <v>30</v>
      </c>
      <c r="S101" s="1">
        <f t="shared" si="5"/>
        <v>45960</v>
      </c>
      <c r="U101">
        <f>IFERROR(VALUE(SUBSTITUTE(SUBSTITUTE('01_Raw'!H103,"$",""), ".",",")),"Invalid")</f>
        <v>645.26</v>
      </c>
      <c r="V101">
        <f>IFERROR(VALUE('01_Raw'!G103), "Invalid")</f>
        <v>5</v>
      </c>
      <c r="X101">
        <f>IF(ISBLANK('01_Raw'!H103),"Missing", IFERROR(VALUE(SUBSTITUTE(SUBSTITUTE('01_Raw'!H103,"$",""), ".",",")),"Invalid"))</f>
        <v>645.26</v>
      </c>
      <c r="Y101">
        <f>IF(LEN(TRIM('01_Raw'!H103)) = 0, "Missing",IFERROR(VALUE(SUBSTITUTE(SUBSTITUTE('01_Raw'!H103,"$",""), ".",",")),"Invalid"))</f>
        <v>645.26</v>
      </c>
      <c r="AA101">
        <f>IF(LEN(TRIM('01_Raw'!G103)) = 0, "Missing",IFERROR(VALUE(SUBSTITUTE(SUBSTITUTE('01_Raw'!G103,"$",""), ".",",")),"Invalid"))</f>
        <v>5</v>
      </c>
      <c r="AC101">
        <f>COUNTIF($A$2:$A$103,A102)</f>
        <v>1</v>
      </c>
      <c r="AE101">
        <f>COUNTIF(messy_ecommerce_sales_data__2[Order_ID],'01_Raw'!C103)</f>
        <v>2</v>
      </c>
      <c r="AG101">
        <f t="shared" si="6"/>
        <v>3226.3</v>
      </c>
      <c r="AH101" t="str">
        <f>IF(AG101='01_Raw'!K102,"OK","Mismatch")</f>
        <v>Mismatch</v>
      </c>
      <c r="AJ101">
        <f t="shared" si="7"/>
        <v>3226.3</v>
      </c>
      <c r="AK101" t="str">
        <f t="shared" si="8"/>
        <v>OK</v>
      </c>
    </row>
    <row r="102" spans="1:37" x14ac:dyDescent="0.3">
      <c r="A102">
        <f>'01_Raw'!A103</f>
        <v>142</v>
      </c>
      <c r="B102" t="str">
        <f>TRIM('01_Raw'!B103)</f>
        <v>Customer_142</v>
      </c>
      <c r="D102" s="1">
        <f t="shared" si="9"/>
        <v>45960</v>
      </c>
      <c r="E102" t="str">
        <f>TRIM('01_Raw'!E103)</f>
        <v>Shoes</v>
      </c>
      <c r="F102" t="str">
        <f>IF(PROPER(TRIM('01_Raw'!F103))="Electronic","Electronics",PROPER(TRIM('01_Raw'!F103)))</f>
        <v>Clothing</v>
      </c>
      <c r="I102" t="str">
        <f>TRIM('01_Raw'!I103)</f>
        <v>Credit Card</v>
      </c>
      <c r="J102" t="str">
        <f>TRIM('01_Raw'!J103)</f>
        <v>Shipped</v>
      </c>
      <c r="N102" t="b">
        <f>ISNUMBER('01_Raw'!D104)</f>
        <v>0</v>
      </c>
      <c r="P102" t="str">
        <f>LEFT('01_Raw'!D104, FIND("/",'01_Raw'!D104) - 1)</f>
        <v>7</v>
      </c>
      <c r="Q102" t="str">
        <f>IFERROR(RIGHT('01_Raw'!D104,4),"Invalid")</f>
        <v>2025</v>
      </c>
      <c r="R102" t="str">
        <f>MID('01_Raw'!D104,FIND("/",'01_Raw'!D104) + 1,FIND("/",'01_Raw'!D104,FIND("/",'01_Raw'!D104)+1)-FIND("/",'01_Raw'!D104)-1)</f>
        <v>9</v>
      </c>
      <c r="S102" s="1">
        <f t="shared" si="5"/>
        <v>45847</v>
      </c>
      <c r="U102">
        <f>IFERROR(VALUE(SUBSTITUTE(SUBSTITUTE('01_Raw'!H104,"$",""), ".",",")),"Invalid")</f>
        <v>705.42</v>
      </c>
      <c r="V102">
        <f>IFERROR(VALUE('01_Raw'!G104), "Invalid")</f>
        <v>2</v>
      </c>
      <c r="X102">
        <f>IF(ISBLANK('01_Raw'!H104),"Missing", IFERROR(VALUE(SUBSTITUTE(SUBSTITUTE('01_Raw'!H104,"$",""), ".",",")),"Invalid"))</f>
        <v>705.42</v>
      </c>
      <c r="Y102">
        <f>IF(LEN(TRIM('01_Raw'!H104)) = 0, "Missing",IFERROR(VALUE(SUBSTITUTE(SUBSTITUTE('01_Raw'!H104,"$",""), ".",",")),"Invalid"))</f>
        <v>705.42</v>
      </c>
      <c r="AA102">
        <f>IF(LEN(TRIM('01_Raw'!G104)) = 0, "Missing",IFERROR(VALUE(SUBSTITUTE(SUBSTITUTE('01_Raw'!G104,"$",""), ".",",")),"Invalid"))</f>
        <v>2</v>
      </c>
      <c r="AC102">
        <f>COUNTIF($A$2:$A$103,A103)</f>
        <v>2</v>
      </c>
      <c r="AE102">
        <f>COUNTIF(messy_ecommerce_sales_data__2[Order_ID],'01_Raw'!C104)</f>
        <v>2</v>
      </c>
      <c r="AG102">
        <f t="shared" si="6"/>
        <v>1410.84</v>
      </c>
      <c r="AH102" t="str">
        <f>IF(AG102='01_Raw'!K103,"OK","Mismatch")</f>
        <v>Mismatch</v>
      </c>
      <c r="AJ102">
        <f t="shared" si="7"/>
        <v>1410.84</v>
      </c>
      <c r="AK102" t="str">
        <f t="shared" si="8"/>
        <v>OK</v>
      </c>
    </row>
    <row r="103" spans="1:37" x14ac:dyDescent="0.3">
      <c r="A103">
        <f>'01_Raw'!A104</f>
        <v>146</v>
      </c>
      <c r="B103" t="str">
        <f>TRIM('01_Raw'!B104)</f>
        <v>Customer_146</v>
      </c>
      <c r="D103" s="1">
        <f>IFERROR(DATE(Q102,P102,R102),"Invalid")</f>
        <v>45847</v>
      </c>
      <c r="E103" t="str">
        <f>TRIM('01_Raw'!E104)</f>
        <v>Basketball</v>
      </c>
      <c r="F103" t="str">
        <f>IF(PROPER(TRIM('01_Raw'!F104))="Electronic","Electronics",PROPER(TRIM('01_Raw'!F104)))</f>
        <v>Electronics</v>
      </c>
      <c r="I103" t="str">
        <f>TRIM('01_Raw'!I104)</f>
        <v>Bank Transfer</v>
      </c>
      <c r="J103" t="str">
        <f>TRIM('01_Raw'!J104)</f>
        <v>Processing</v>
      </c>
      <c r="N103" t="b">
        <f>ISNUMBER('01_Raw'!D105)</f>
        <v>0</v>
      </c>
      <c r="P103" t="e">
        <f>LEFT('01_Raw'!D105, FIND("/",'01_Raw'!D105) - 1)</f>
        <v>#VALUE!</v>
      </c>
      <c r="Q103" t="str">
        <f>IFERROR(RIGHT('01_Raw'!D105,4),"Invalid")</f>
        <v/>
      </c>
      <c r="R103" t="e">
        <f>MID('01_Raw'!D105,FIND("/",'01_Raw'!D105) + 1,FIND("/",'01_Raw'!D105,FIND("/",'01_Raw'!D105)+1)-FIND("/",'01_Raw'!D105)-1)</f>
        <v>#VALUE!</v>
      </c>
      <c r="S103" s="1" t="str">
        <f t="shared" si="5"/>
        <v>Invalid</v>
      </c>
      <c r="U103" t="str">
        <f>IFERROR(VALUE(SUBSTITUTE(SUBSTITUTE('01_Raw'!H105,"$",""), ".",",")),"Invalid")</f>
        <v>Invalid</v>
      </c>
      <c r="V103">
        <f>IFERROR(VALUE('01_Raw'!G105), "Invalid")</f>
        <v>0</v>
      </c>
      <c r="X103" t="str">
        <f>IF(ISBLANK('01_Raw'!H105),"Missing", IFERROR(VALUE(SUBSTITUTE(SUBSTITUTE('01_Raw'!H105,"$",""), ".",",")),"Invalid"))</f>
        <v>Missing</v>
      </c>
      <c r="Y103" t="str">
        <f>IF(LEN(TRIM('01_Raw'!H105)) = 0, "Missing",IFERROR(VALUE(SUBSTITUTE(SUBSTITUTE('01_Raw'!H105,"$",""), ".",",")),"Invalid"))</f>
        <v>Missing</v>
      </c>
      <c r="AA103" t="str">
        <f>IF(LEN(TRIM('01_Raw'!G105)) = 0, "Missing",IFERROR(VALUE(SUBSTITUTE(SUBSTITUTE('01_Raw'!G105,"$",""), ".",",")),"Invalid"))</f>
        <v>Missing</v>
      </c>
      <c r="AC103">
        <f>COUNTIF($A$2:$A$103,A104)</f>
        <v>0</v>
      </c>
      <c r="AE103">
        <f>COUNTIF(messy_ecommerce_sales_data__2[Order_ID],'01_Raw'!C105)</f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B3F440-B259-4DA3-8524-EEAA8892625C}">
  <dimension ref="A1:S103"/>
  <sheetViews>
    <sheetView topLeftCell="H75" workbookViewId="0">
      <selection activeCell="S2" sqref="S2:S101"/>
    </sheetView>
  </sheetViews>
  <sheetFormatPr defaultRowHeight="14.4" x14ac:dyDescent="0.3"/>
  <cols>
    <col min="2" max="2" width="14.6640625" bestFit="1" customWidth="1"/>
    <col min="4" max="4" width="10.21875" bestFit="1" customWidth="1"/>
    <col min="9" max="9" width="14.88671875" bestFit="1" customWidth="1"/>
    <col min="10" max="10" width="9.88671875" bestFit="1" customWidth="1"/>
    <col min="13" max="13" width="13.6640625" bestFit="1" customWidth="1"/>
    <col min="14" max="14" width="10.33203125" bestFit="1" customWidth="1"/>
    <col min="15" max="15" width="13.21875" bestFit="1" customWidth="1"/>
    <col min="16" max="16" width="10.6640625" bestFit="1" customWidth="1"/>
    <col min="17" max="18" width="14.88671875" bestFit="1" customWidth="1"/>
    <col min="22" max="22" width="12.6640625" bestFit="1" customWidth="1"/>
  </cols>
  <sheetData>
    <row r="1" spans="1:19" x14ac:dyDescent="0.3">
      <c r="A1" t="s">
        <v>14</v>
      </c>
      <c r="B1" t="s">
        <v>18</v>
      </c>
      <c r="C1" t="s">
        <v>15</v>
      </c>
      <c r="D1" t="s">
        <v>16</v>
      </c>
      <c r="E1" t="s">
        <v>19</v>
      </c>
      <c r="F1" t="s">
        <v>20</v>
      </c>
      <c r="G1" t="s">
        <v>10</v>
      </c>
      <c r="H1" t="s">
        <v>11</v>
      </c>
      <c r="I1" t="s">
        <v>21</v>
      </c>
      <c r="J1" t="s">
        <v>22</v>
      </c>
      <c r="K1" t="s">
        <v>12</v>
      </c>
      <c r="M1" s="6" t="s">
        <v>522</v>
      </c>
      <c r="N1" s="6" t="s">
        <v>521</v>
      </c>
      <c r="O1" s="6" t="s">
        <v>524</v>
      </c>
      <c r="P1" s="6" t="s">
        <v>525</v>
      </c>
      <c r="Q1" s="6" t="s">
        <v>526</v>
      </c>
      <c r="R1" s="6" t="s">
        <v>527</v>
      </c>
      <c r="S1" s="6" t="s">
        <v>528</v>
      </c>
    </row>
    <row r="2" spans="1:19" x14ac:dyDescent="0.3">
      <c r="A2">
        <v>100</v>
      </c>
      <c r="B2" t="s">
        <v>23</v>
      </c>
      <c r="C2" t="s">
        <v>24</v>
      </c>
      <c r="D2" t="s">
        <v>25</v>
      </c>
      <c r="E2" t="s">
        <v>26</v>
      </c>
      <c r="F2" t="s">
        <v>27</v>
      </c>
      <c r="G2" t="s">
        <v>469</v>
      </c>
      <c r="H2" t="s">
        <v>470</v>
      </c>
      <c r="I2" t="s">
        <v>28</v>
      </c>
      <c r="J2" t="s">
        <v>29</v>
      </c>
      <c r="K2" t="s">
        <v>471</v>
      </c>
      <c r="M2" s="4" t="str">
        <f>IF(OR(F2="",F2="Nan"),"Missing",IF(PROPER(TRIM(messy_ecommerce_sales_data__27[[#This Row],[ Category]]))="Electronic","Electronics",PROPER(TRIM(messy_ecommerce_sales_data__27[[#This Row],[ Category]]))))</f>
        <v>Home</v>
      </c>
      <c r="N2" s="5">
        <v>45618</v>
      </c>
      <c r="O2" s="4">
        <f>IF(LEN(TRIM(messy_ecommerce_sales_data__27[[#This Row],[Quantity]])) = 0, "Missing",IFERROR(VALUE(messy_ecommerce_sales_data__27[[#This Row],[Quantity]]),"Invalid"))</f>
        <v>3</v>
      </c>
      <c r="P2" s="4">
        <f>IFERROR(VALUE(SUBSTITUTE(SUBSTITUTE(H2,"$",""), ".",",")),"Invalid")</f>
        <v>38</v>
      </c>
      <c r="Q2" s="4">
        <f>IF(LEN(TRIM(messy_ecommerce_sales_data__27[[#This Row],[Total]])) = 0, "Missing",IFERROR(VALUE(SUBSTITUTE(SUBSTITUTE(messy_ecommerce_sales_data__27[[#This Row],[Total]],"$",""), ".",",")),"Invalid"))</f>
        <v>114</v>
      </c>
      <c r="R2" s="4">
        <f>IFERROR(O2*P2, "Cannot Calculate")</f>
        <v>114</v>
      </c>
      <c r="S2" s="4" t="str">
        <f>IF(AND(ISNUMBER(R2),ISNUMBER(Q2)),IF(ROUND(R2,2)=ROUND(Q2,2),"OK","Mismatch"),"No Data")</f>
        <v>OK</v>
      </c>
    </row>
    <row r="3" spans="1:19" x14ac:dyDescent="0.3">
      <c r="A3">
        <v>101</v>
      </c>
      <c r="B3" t="s">
        <v>30</v>
      </c>
      <c r="C3" t="s">
        <v>31</v>
      </c>
      <c r="D3" t="s">
        <v>472</v>
      </c>
      <c r="E3" t="s">
        <v>32</v>
      </c>
      <c r="F3" t="s">
        <v>33</v>
      </c>
      <c r="G3" t="s">
        <v>473</v>
      </c>
      <c r="H3" t="s">
        <v>34</v>
      </c>
      <c r="I3" t="s">
        <v>35</v>
      </c>
      <c r="J3" t="s">
        <v>36</v>
      </c>
      <c r="K3" t="s">
        <v>474</v>
      </c>
      <c r="M3" s="4" t="str">
        <f>IF(OR(F3="",F3="Nan"),"Missing",IF(PROPER(TRIM(messy_ecommerce_sales_data__27[[#This Row],[ Category]]))="Electronic","Electronics",PROPER(TRIM(messy_ecommerce_sales_data__27[[#This Row],[ Category]]))))</f>
        <v>Electronics</v>
      </c>
      <c r="N3" s="5">
        <v>45843</v>
      </c>
      <c r="O3" s="4">
        <f>IF(LEN(TRIM(messy_ecommerce_sales_data__27[[#This Row],[Quantity]])) = 0, "Missing",IFERROR(VALUE(messy_ecommerce_sales_data__27[[#This Row],[Quantity]]),"Invalid"))</f>
        <v>2</v>
      </c>
      <c r="P3" s="4" t="str">
        <f t="shared" ref="P3:P66" si="0">IFERROR(VALUE(SUBSTITUTE(SUBSTITUTE(H3,"$",""), ".",",")),"Invalid")</f>
        <v>Invalid</v>
      </c>
      <c r="Q3" s="4" t="str">
        <f>IF(LEN(TRIM(messy_ecommerce_sales_data__27[[#This Row],[Total]])) = 0, "Missing",IFERROR(VALUE(SUBSTITUTE(SUBSTITUTE(messy_ecommerce_sales_data__27[[#This Row],[Total]],"$",""), ".",",")),"Invalid"))</f>
        <v>Missing</v>
      </c>
      <c r="R3" s="4" t="str">
        <f t="shared" ref="R3:R66" si="1">IFERROR(O3*P3, "Cannot Calculate")</f>
        <v>Cannot Calculate</v>
      </c>
      <c r="S3" s="4" t="str">
        <f t="shared" ref="S3:S66" si="2">IF(AND(ISNUMBER(R3),ISNUMBER(Q3)),IF(ROUND(R3,2)=ROUND(Q3,2),"OK","Mismatch"),"No Data")</f>
        <v>No Data</v>
      </c>
    </row>
    <row r="4" spans="1:19" x14ac:dyDescent="0.3">
      <c r="A4">
        <v>102</v>
      </c>
      <c r="B4" t="s">
        <v>37</v>
      </c>
      <c r="C4" t="s">
        <v>38</v>
      </c>
      <c r="D4" t="s">
        <v>39</v>
      </c>
      <c r="E4" t="s">
        <v>40</v>
      </c>
      <c r="F4" t="s">
        <v>41</v>
      </c>
      <c r="G4" t="s">
        <v>475</v>
      </c>
      <c r="H4" t="s">
        <v>42</v>
      </c>
      <c r="I4" t="s">
        <v>35</v>
      </c>
      <c r="J4" t="s">
        <v>43</v>
      </c>
      <c r="K4" t="s">
        <v>42</v>
      </c>
      <c r="M4" s="4" t="str">
        <f>IF(OR(F4="",F4="Nan"),"Missing",IF(PROPER(TRIM(messy_ecommerce_sales_data__27[[#This Row],[ Category]]))="Electronic","Electronics",PROPER(TRIM(messy_ecommerce_sales_data__27[[#This Row],[ Category]]))))</f>
        <v>Sports</v>
      </c>
      <c r="N4" s="5">
        <v>45649</v>
      </c>
      <c r="O4" s="4">
        <f>IF(LEN(TRIM(messy_ecommerce_sales_data__27[[#This Row],[Quantity]])) = 0, "Missing",IFERROR(VALUE(messy_ecommerce_sales_data__27[[#This Row],[Quantity]]),"Invalid"))</f>
        <v>1</v>
      </c>
      <c r="P4" s="4">
        <f t="shared" si="0"/>
        <v>389.05</v>
      </c>
      <c r="Q4" s="4">
        <f>IF(LEN(TRIM(messy_ecommerce_sales_data__27[[#This Row],[Total]])) = 0, "Missing",IFERROR(VALUE(SUBSTITUTE(SUBSTITUTE(messy_ecommerce_sales_data__27[[#This Row],[Total]],"$",""), ".",",")),"Invalid"))</f>
        <v>389.05</v>
      </c>
      <c r="R4" s="4">
        <f t="shared" si="1"/>
        <v>389.05</v>
      </c>
      <c r="S4" s="4" t="str">
        <f t="shared" si="2"/>
        <v>OK</v>
      </c>
    </row>
    <row r="5" spans="1:19" x14ac:dyDescent="0.3">
      <c r="A5">
        <v>103</v>
      </c>
      <c r="B5" t="s">
        <v>44</v>
      </c>
      <c r="C5" t="s">
        <v>45</v>
      </c>
      <c r="D5" t="s">
        <v>46</v>
      </c>
      <c r="E5" t="s">
        <v>47</v>
      </c>
      <c r="F5" t="s">
        <v>48</v>
      </c>
      <c r="G5" t="s">
        <v>476</v>
      </c>
      <c r="H5" t="s">
        <v>49</v>
      </c>
      <c r="I5" t="s">
        <v>35</v>
      </c>
      <c r="J5" t="s">
        <v>36</v>
      </c>
      <c r="K5" t="s">
        <v>50</v>
      </c>
      <c r="M5" s="4" t="str">
        <f>IF(OR(F5="",F5="Nan"),"Missing",IF(PROPER(TRIM(messy_ecommerce_sales_data__27[[#This Row],[ Category]]))="Electronic","Electronics",PROPER(TRIM(messy_ecommerce_sales_data__27[[#This Row],[ Category]]))))</f>
        <v>Books</v>
      </c>
      <c r="N5" s="5">
        <v>45735</v>
      </c>
      <c r="O5" s="4">
        <f>IF(LEN(TRIM(messy_ecommerce_sales_data__27[[#This Row],[Quantity]])) = 0, "Missing",IFERROR(VALUE(messy_ecommerce_sales_data__27[[#This Row],[Quantity]]),"Invalid"))</f>
        <v>5</v>
      </c>
      <c r="P5" s="4">
        <f t="shared" si="0"/>
        <v>233.92</v>
      </c>
      <c r="Q5" s="4">
        <f>IF(LEN(TRIM(messy_ecommerce_sales_data__27[[#This Row],[Total]])) = 0, "Missing",IFERROR(VALUE(SUBSTITUTE(SUBSTITUTE(messy_ecommerce_sales_data__27[[#This Row],[Total]],"$",""), ".",",")),"Invalid"))</f>
        <v>1169.5999999999999</v>
      </c>
      <c r="R5" s="4">
        <f t="shared" si="1"/>
        <v>1169.5999999999999</v>
      </c>
      <c r="S5" s="4" t="str">
        <f t="shared" si="2"/>
        <v>OK</v>
      </c>
    </row>
    <row r="6" spans="1:19" x14ac:dyDescent="0.3">
      <c r="A6">
        <v>104</v>
      </c>
      <c r="B6" t="s">
        <v>51</v>
      </c>
      <c r="C6" t="s">
        <v>52</v>
      </c>
      <c r="D6" t="s">
        <v>53</v>
      </c>
      <c r="E6" t="s">
        <v>54</v>
      </c>
      <c r="F6" t="s">
        <v>48</v>
      </c>
      <c r="G6" t="s">
        <v>475</v>
      </c>
      <c r="H6" t="s">
        <v>55</v>
      </c>
      <c r="I6" t="s">
        <v>28</v>
      </c>
      <c r="J6" t="s">
        <v>36</v>
      </c>
      <c r="K6" t="s">
        <v>55</v>
      </c>
      <c r="M6" s="4" t="str">
        <f>IF(OR(F6="",F6="Nan"),"Missing",IF(PROPER(TRIM(messy_ecommerce_sales_data__27[[#This Row],[ Category]]))="Electronic","Electronics",PROPER(TRIM(messy_ecommerce_sales_data__27[[#This Row],[ Category]]))))</f>
        <v>Books</v>
      </c>
      <c r="N6" s="5">
        <v>45950</v>
      </c>
      <c r="O6" s="4">
        <f>IF(LEN(TRIM(messy_ecommerce_sales_data__27[[#This Row],[Quantity]])) = 0, "Missing",IFERROR(VALUE(messy_ecommerce_sales_data__27[[#This Row],[Quantity]]),"Invalid"))</f>
        <v>1</v>
      </c>
      <c r="P6" s="4">
        <f t="shared" si="0"/>
        <v>552.51</v>
      </c>
      <c r="Q6" s="4">
        <f>IF(LEN(TRIM(messy_ecommerce_sales_data__27[[#This Row],[Total]])) = 0, "Missing",IFERROR(VALUE(SUBSTITUTE(SUBSTITUTE(messy_ecommerce_sales_data__27[[#This Row],[Total]],"$",""), ".",",")),"Invalid"))</f>
        <v>552.51</v>
      </c>
      <c r="R6" s="4">
        <f t="shared" si="1"/>
        <v>552.51</v>
      </c>
      <c r="S6" s="4" t="str">
        <f t="shared" si="2"/>
        <v>OK</v>
      </c>
    </row>
    <row r="7" spans="1:19" x14ac:dyDescent="0.3">
      <c r="A7">
        <v>105</v>
      </c>
      <c r="B7" t="s">
        <v>56</v>
      </c>
      <c r="C7" t="s">
        <v>57</v>
      </c>
      <c r="D7" t="s">
        <v>58</v>
      </c>
      <c r="E7" t="s">
        <v>40</v>
      </c>
      <c r="F7" t="s">
        <v>41</v>
      </c>
      <c r="G7" t="s">
        <v>469</v>
      </c>
      <c r="H7" t="s">
        <v>59</v>
      </c>
      <c r="I7" t="s">
        <v>28</v>
      </c>
      <c r="J7" t="s">
        <v>60</v>
      </c>
      <c r="K7" t="s">
        <v>61</v>
      </c>
      <c r="M7" s="4" t="str">
        <f>IF(OR(F7="",F7="Nan"),"Missing",IF(PROPER(TRIM(messy_ecommerce_sales_data__27[[#This Row],[ Category]]))="Electronic","Electronics",PROPER(TRIM(messy_ecommerce_sales_data__27[[#This Row],[ Category]]))))</f>
        <v>Sports</v>
      </c>
      <c r="N7" s="5">
        <v>45616</v>
      </c>
      <c r="O7" s="4">
        <f>IF(LEN(TRIM(messy_ecommerce_sales_data__27[[#This Row],[Quantity]])) = 0, "Missing",IFERROR(VALUE(messy_ecommerce_sales_data__27[[#This Row],[Quantity]]),"Invalid"))</f>
        <v>3</v>
      </c>
      <c r="P7" s="4">
        <f t="shared" si="0"/>
        <v>122.06</v>
      </c>
      <c r="Q7" s="4">
        <f>IF(LEN(TRIM(messy_ecommerce_sales_data__27[[#This Row],[Total]])) = 0, "Missing",IFERROR(VALUE(SUBSTITUTE(SUBSTITUTE(messy_ecommerce_sales_data__27[[#This Row],[Total]],"$",""), ".",",")),"Invalid"))</f>
        <v>366.18</v>
      </c>
      <c r="R7" s="4">
        <f t="shared" si="1"/>
        <v>366.18</v>
      </c>
      <c r="S7" s="4" t="str">
        <f t="shared" si="2"/>
        <v>OK</v>
      </c>
    </row>
    <row r="8" spans="1:19" x14ac:dyDescent="0.3">
      <c r="A8">
        <v>106</v>
      </c>
      <c r="B8" t="s">
        <v>62</v>
      </c>
      <c r="C8" t="s">
        <v>63</v>
      </c>
      <c r="D8" t="s">
        <v>477</v>
      </c>
      <c r="E8" t="s">
        <v>26</v>
      </c>
      <c r="F8" t="s">
        <v>27</v>
      </c>
      <c r="G8" t="s">
        <v>474</v>
      </c>
      <c r="H8" t="s">
        <v>64</v>
      </c>
      <c r="I8" t="s">
        <v>65</v>
      </c>
      <c r="J8" t="s">
        <v>36</v>
      </c>
      <c r="K8" t="s">
        <v>474</v>
      </c>
      <c r="M8" s="4" t="str">
        <f>IF(OR(F8="",F8="Nan"),"Missing",IF(PROPER(TRIM(messy_ecommerce_sales_data__27[[#This Row],[ Category]]))="Electronic","Electronics",PROPER(TRIM(messy_ecommerce_sales_data__27[[#This Row],[ Category]]))))</f>
        <v>Home</v>
      </c>
      <c r="N8" s="5">
        <v>45690</v>
      </c>
      <c r="O8" s="4" t="str">
        <f>IF(LEN(TRIM(messy_ecommerce_sales_data__27[[#This Row],[Quantity]])) = 0, "Missing",IFERROR(VALUE(messy_ecommerce_sales_data__27[[#This Row],[Quantity]]),"Invalid"))</f>
        <v>Missing</v>
      </c>
      <c r="P8" s="4">
        <f t="shared" si="0"/>
        <v>978.63</v>
      </c>
      <c r="Q8" s="4" t="str">
        <f>IF(LEN(TRIM(messy_ecommerce_sales_data__27[[#This Row],[Total]])) = 0, "Missing",IFERROR(VALUE(SUBSTITUTE(SUBSTITUTE(messy_ecommerce_sales_data__27[[#This Row],[Total]],"$",""), ".",",")),"Invalid"))</f>
        <v>Missing</v>
      </c>
      <c r="R8" s="4" t="str">
        <f t="shared" si="1"/>
        <v>Cannot Calculate</v>
      </c>
      <c r="S8" s="4" t="str">
        <f t="shared" si="2"/>
        <v>No Data</v>
      </c>
    </row>
    <row r="9" spans="1:19" x14ac:dyDescent="0.3">
      <c r="A9">
        <v>107</v>
      </c>
      <c r="B9" t="s">
        <v>66</v>
      </c>
      <c r="C9" t="s">
        <v>67</v>
      </c>
      <c r="D9" t="s">
        <v>478</v>
      </c>
      <c r="E9" t="s">
        <v>54</v>
      </c>
      <c r="F9" t="s">
        <v>48</v>
      </c>
      <c r="G9" t="s">
        <v>476</v>
      </c>
      <c r="H9" t="s">
        <v>68</v>
      </c>
      <c r="I9" t="s">
        <v>35</v>
      </c>
      <c r="J9" t="s">
        <v>69</v>
      </c>
      <c r="K9" t="s">
        <v>70</v>
      </c>
      <c r="M9" s="4" t="str">
        <f>IF(OR(F9="",F9="Nan"),"Missing",IF(PROPER(TRIM(messy_ecommerce_sales_data__27[[#This Row],[ Category]]))="Electronic","Electronics",PROPER(TRIM(messy_ecommerce_sales_data__27[[#This Row],[ Category]]))))</f>
        <v>Books</v>
      </c>
      <c r="N9" s="5">
        <v>45660</v>
      </c>
      <c r="O9" s="4">
        <f>IF(LEN(TRIM(messy_ecommerce_sales_data__27[[#This Row],[Quantity]])) = 0, "Missing",IFERROR(VALUE(messy_ecommerce_sales_data__27[[#This Row],[Quantity]]),"Invalid"))</f>
        <v>5</v>
      </c>
      <c r="P9" s="4">
        <f t="shared" si="0"/>
        <v>587.67999999999995</v>
      </c>
      <c r="Q9" s="4">
        <f>IF(LEN(TRIM(messy_ecommerce_sales_data__27[[#This Row],[Total]])) = 0, "Missing",IFERROR(VALUE(SUBSTITUTE(SUBSTITUTE(messy_ecommerce_sales_data__27[[#This Row],[Total]],"$",""), ".",",")),"Invalid"))</f>
        <v>2938.4</v>
      </c>
      <c r="R9" s="4">
        <f t="shared" si="1"/>
        <v>2938.3999999999996</v>
      </c>
      <c r="S9" s="4" t="str">
        <f t="shared" si="2"/>
        <v>OK</v>
      </c>
    </row>
    <row r="10" spans="1:19" x14ac:dyDescent="0.3">
      <c r="A10">
        <v>108</v>
      </c>
      <c r="B10" t="s">
        <v>71</v>
      </c>
      <c r="C10" t="s">
        <v>72</v>
      </c>
      <c r="D10" t="s">
        <v>73</v>
      </c>
      <c r="E10" t="s">
        <v>47</v>
      </c>
      <c r="F10" t="s">
        <v>48</v>
      </c>
      <c r="G10" t="s">
        <v>475</v>
      </c>
      <c r="H10" t="s">
        <v>74</v>
      </c>
      <c r="I10" t="s">
        <v>28</v>
      </c>
      <c r="J10" t="s">
        <v>36</v>
      </c>
      <c r="K10" t="s">
        <v>74</v>
      </c>
      <c r="M10" s="4" t="str">
        <f>IF(OR(F10="",F10="Nan"),"Missing",IF(PROPER(TRIM(messy_ecommerce_sales_data__27[[#This Row],[ Category]]))="Electronic","Electronics",PROPER(TRIM(messy_ecommerce_sales_data__27[[#This Row],[ Category]]))))</f>
        <v>Books</v>
      </c>
      <c r="N10" s="5">
        <v>45953</v>
      </c>
      <c r="O10" s="4">
        <f>IF(LEN(TRIM(messy_ecommerce_sales_data__27[[#This Row],[Quantity]])) = 0, "Missing",IFERROR(VALUE(messy_ecommerce_sales_data__27[[#This Row],[Quantity]]),"Invalid"))</f>
        <v>1</v>
      </c>
      <c r="P10" s="4">
        <f t="shared" si="0"/>
        <v>600.29</v>
      </c>
      <c r="Q10" s="4">
        <f>IF(LEN(TRIM(messy_ecommerce_sales_data__27[[#This Row],[Total]])) = 0, "Missing",IFERROR(VALUE(SUBSTITUTE(SUBSTITUTE(messy_ecommerce_sales_data__27[[#This Row],[Total]],"$",""), ".",",")),"Invalid"))</f>
        <v>600.29</v>
      </c>
      <c r="R10" s="4">
        <f t="shared" si="1"/>
        <v>600.29</v>
      </c>
      <c r="S10" s="4" t="str">
        <f t="shared" si="2"/>
        <v>OK</v>
      </c>
    </row>
    <row r="11" spans="1:19" x14ac:dyDescent="0.3">
      <c r="A11">
        <v>109</v>
      </c>
      <c r="B11" t="s">
        <v>75</v>
      </c>
      <c r="C11" t="s">
        <v>76</v>
      </c>
      <c r="D11" t="s">
        <v>479</v>
      </c>
      <c r="E11" t="s">
        <v>40</v>
      </c>
      <c r="F11" t="s">
        <v>41</v>
      </c>
      <c r="G11" t="s">
        <v>476</v>
      </c>
      <c r="H11" t="s">
        <v>77</v>
      </c>
      <c r="I11" t="s">
        <v>78</v>
      </c>
      <c r="J11" t="s">
        <v>29</v>
      </c>
      <c r="K11" t="s">
        <v>79</v>
      </c>
      <c r="M11" s="4" t="str">
        <f>IF(OR(F11="",F11="Nan"),"Missing",IF(PROPER(TRIM(messy_ecommerce_sales_data__27[[#This Row],[ Category]]))="Electronic","Electronics",PROPER(TRIM(messy_ecommerce_sales_data__27[[#This Row],[ Category]]))))</f>
        <v>Sports</v>
      </c>
      <c r="N11" s="5">
        <v>45780</v>
      </c>
      <c r="O11" s="4">
        <f>IF(LEN(TRIM(messy_ecommerce_sales_data__27[[#This Row],[Quantity]])) = 0, "Missing",IFERROR(VALUE(messy_ecommerce_sales_data__27[[#This Row],[Quantity]]),"Invalid"))</f>
        <v>5</v>
      </c>
      <c r="P11" s="4">
        <f t="shared" si="0"/>
        <v>168.34</v>
      </c>
      <c r="Q11" s="4">
        <f>IF(LEN(TRIM(messy_ecommerce_sales_data__27[[#This Row],[Total]])) = 0, "Missing",IFERROR(VALUE(SUBSTITUTE(SUBSTITUTE(messy_ecommerce_sales_data__27[[#This Row],[Total]],"$",""), ".",",")),"Invalid"))</f>
        <v>841.7</v>
      </c>
      <c r="R11" s="4">
        <f t="shared" si="1"/>
        <v>841.7</v>
      </c>
      <c r="S11" s="4" t="str">
        <f t="shared" si="2"/>
        <v>OK</v>
      </c>
    </row>
    <row r="12" spans="1:19" x14ac:dyDescent="0.3">
      <c r="A12">
        <v>110</v>
      </c>
      <c r="B12" t="s">
        <v>80</v>
      </c>
      <c r="C12" t="s">
        <v>81</v>
      </c>
      <c r="D12" t="s">
        <v>82</v>
      </c>
      <c r="E12" t="s">
        <v>83</v>
      </c>
      <c r="F12" t="s">
        <v>84</v>
      </c>
      <c r="G12" t="s">
        <v>476</v>
      </c>
      <c r="H12" t="s">
        <v>85</v>
      </c>
      <c r="I12" t="s">
        <v>28</v>
      </c>
      <c r="J12" t="s">
        <v>60</v>
      </c>
      <c r="K12" t="s">
        <v>474</v>
      </c>
      <c r="M12" s="4" t="str">
        <f>IF(OR(F12="",F12="Nan"),"Missing",IF(PROPER(TRIM(messy_ecommerce_sales_data__27[[#This Row],[ Category]]))="Electronic","Electronics",PROPER(TRIM(messy_ecommerce_sales_data__27[[#This Row],[ Category]]))))</f>
        <v>Sports</v>
      </c>
      <c r="N12" s="5">
        <v>45926</v>
      </c>
      <c r="O12" s="4">
        <f>IF(LEN(TRIM(messy_ecommerce_sales_data__27[[#This Row],[Quantity]])) = 0, "Missing",IFERROR(VALUE(messy_ecommerce_sales_data__27[[#This Row],[Quantity]]),"Invalid"))</f>
        <v>5</v>
      </c>
      <c r="P12" s="4" t="str">
        <f t="shared" si="0"/>
        <v>Invalid</v>
      </c>
      <c r="Q12" s="4" t="str">
        <f>IF(LEN(TRIM(messy_ecommerce_sales_data__27[[#This Row],[Total]])) = 0, "Missing",IFERROR(VALUE(SUBSTITUTE(SUBSTITUTE(messy_ecommerce_sales_data__27[[#This Row],[Total]],"$",""), ".",",")),"Invalid"))</f>
        <v>Missing</v>
      </c>
      <c r="R12" s="4" t="str">
        <f t="shared" si="1"/>
        <v>Cannot Calculate</v>
      </c>
      <c r="S12" s="4" t="str">
        <f t="shared" si="2"/>
        <v>No Data</v>
      </c>
    </row>
    <row r="13" spans="1:19" x14ac:dyDescent="0.3">
      <c r="A13">
        <v>111</v>
      </c>
      <c r="B13" t="s">
        <v>86</v>
      </c>
      <c r="C13" t="s">
        <v>87</v>
      </c>
      <c r="D13" t="s">
        <v>88</v>
      </c>
      <c r="E13" t="s">
        <v>89</v>
      </c>
      <c r="F13" t="s">
        <v>48</v>
      </c>
      <c r="G13" t="s">
        <v>473</v>
      </c>
      <c r="H13" t="s">
        <v>90</v>
      </c>
      <c r="I13" t="s">
        <v>78</v>
      </c>
      <c r="J13" t="s">
        <v>69</v>
      </c>
      <c r="K13" t="s">
        <v>91</v>
      </c>
      <c r="M13" s="4" t="str">
        <f>IF(OR(F13="",F13="Nan"),"Missing",IF(PROPER(TRIM(messy_ecommerce_sales_data__27[[#This Row],[ Category]]))="Electronic","Electronics",PROPER(TRIM(messy_ecommerce_sales_data__27[[#This Row],[ Category]]))))</f>
        <v>Books</v>
      </c>
      <c r="N13" s="5">
        <v>45952</v>
      </c>
      <c r="O13" s="4">
        <f>IF(LEN(TRIM(messy_ecommerce_sales_data__27[[#This Row],[Quantity]])) = 0, "Missing",IFERROR(VALUE(messy_ecommerce_sales_data__27[[#This Row],[Quantity]]),"Invalid"))</f>
        <v>2</v>
      </c>
      <c r="P13" s="4">
        <f t="shared" si="0"/>
        <v>865.77</v>
      </c>
      <c r="Q13" s="4">
        <f>IF(LEN(TRIM(messy_ecommerce_sales_data__27[[#This Row],[Total]])) = 0, "Missing",IFERROR(VALUE(SUBSTITUTE(SUBSTITUTE(messy_ecommerce_sales_data__27[[#This Row],[Total]],"$",""), ".",",")),"Invalid"))</f>
        <v>1731.54</v>
      </c>
      <c r="R13" s="4">
        <f t="shared" si="1"/>
        <v>1731.54</v>
      </c>
      <c r="S13" s="4" t="str">
        <f t="shared" si="2"/>
        <v>OK</v>
      </c>
    </row>
    <row r="14" spans="1:19" x14ac:dyDescent="0.3">
      <c r="A14">
        <v>112</v>
      </c>
      <c r="B14" t="s">
        <v>92</v>
      </c>
      <c r="C14" t="s">
        <v>93</v>
      </c>
      <c r="D14" t="s">
        <v>480</v>
      </c>
      <c r="E14" t="s">
        <v>94</v>
      </c>
      <c r="F14" t="s">
        <v>95</v>
      </c>
      <c r="G14" t="s">
        <v>481</v>
      </c>
      <c r="H14" t="s">
        <v>96</v>
      </c>
      <c r="I14" t="s">
        <v>65</v>
      </c>
      <c r="J14" t="s">
        <v>43</v>
      </c>
      <c r="K14" t="s">
        <v>97</v>
      </c>
      <c r="M14" s="4" t="str">
        <f>IF(OR(F14="",F14="Nan"),"Missing",IF(PROPER(TRIM(messy_ecommerce_sales_data__27[[#This Row],[ Category]]))="Electronic","Electronics",PROPER(TRIM(messy_ecommerce_sales_data__27[[#This Row],[ Category]]))))</f>
        <v>Clothing</v>
      </c>
      <c r="N14" s="5">
        <v>45718</v>
      </c>
      <c r="O14" s="4">
        <f>IF(LEN(TRIM(messy_ecommerce_sales_data__27[[#This Row],[Quantity]])) = 0, "Missing",IFERROR(VALUE(messy_ecommerce_sales_data__27[[#This Row],[Quantity]]),"Invalid"))</f>
        <v>4</v>
      </c>
      <c r="P14" s="4">
        <f t="shared" si="0"/>
        <v>752.13</v>
      </c>
      <c r="Q14" s="4">
        <f>IF(LEN(TRIM(messy_ecommerce_sales_data__27[[#This Row],[Total]])) = 0, "Missing",IFERROR(VALUE(SUBSTITUTE(SUBSTITUTE(messy_ecommerce_sales_data__27[[#This Row],[Total]],"$",""), ".",",")),"Invalid"))</f>
        <v>3008.52</v>
      </c>
      <c r="R14" s="4">
        <f t="shared" si="1"/>
        <v>3008.52</v>
      </c>
      <c r="S14" s="4" t="str">
        <f t="shared" si="2"/>
        <v>OK</v>
      </c>
    </row>
    <row r="15" spans="1:19" x14ac:dyDescent="0.3">
      <c r="A15">
        <v>113</v>
      </c>
      <c r="B15" t="s">
        <v>98</v>
      </c>
      <c r="C15" t="s">
        <v>99</v>
      </c>
      <c r="D15" t="s">
        <v>100</v>
      </c>
      <c r="E15" t="s">
        <v>101</v>
      </c>
      <c r="F15" t="s">
        <v>48</v>
      </c>
      <c r="G15" t="s">
        <v>475</v>
      </c>
      <c r="H15" t="s">
        <v>102</v>
      </c>
      <c r="I15" t="s">
        <v>78</v>
      </c>
      <c r="J15" t="s">
        <v>36</v>
      </c>
      <c r="K15" t="s">
        <v>102</v>
      </c>
      <c r="M15" s="4" t="str">
        <f>IF(OR(F15="",F15="Nan"),"Missing",IF(PROPER(TRIM(messy_ecommerce_sales_data__27[[#This Row],[ Category]]))="Electronic","Electronics",PROPER(TRIM(messy_ecommerce_sales_data__27[[#This Row],[ Category]]))))</f>
        <v>Books</v>
      </c>
      <c r="N15" s="5">
        <v>45862</v>
      </c>
      <c r="O15" s="4">
        <f>IF(LEN(TRIM(messy_ecommerce_sales_data__27[[#This Row],[Quantity]])) = 0, "Missing",IFERROR(VALUE(messy_ecommerce_sales_data__27[[#This Row],[Quantity]]),"Invalid"))</f>
        <v>1</v>
      </c>
      <c r="P15" s="4">
        <f t="shared" si="0"/>
        <v>411.81</v>
      </c>
      <c r="Q15" s="4">
        <f>IF(LEN(TRIM(messy_ecommerce_sales_data__27[[#This Row],[Total]])) = 0, "Missing",IFERROR(VALUE(SUBSTITUTE(SUBSTITUTE(messy_ecommerce_sales_data__27[[#This Row],[Total]],"$",""), ".",",")),"Invalid"))</f>
        <v>411.81</v>
      </c>
      <c r="R15" s="4">
        <f t="shared" si="1"/>
        <v>411.81</v>
      </c>
      <c r="S15" s="4" t="str">
        <f t="shared" si="2"/>
        <v>OK</v>
      </c>
    </row>
    <row r="16" spans="1:19" x14ac:dyDescent="0.3">
      <c r="A16">
        <v>114</v>
      </c>
      <c r="B16" t="s">
        <v>103</v>
      </c>
      <c r="C16" t="s">
        <v>104</v>
      </c>
      <c r="D16" t="s">
        <v>105</v>
      </c>
      <c r="E16" t="s">
        <v>32</v>
      </c>
      <c r="F16" t="s">
        <v>33</v>
      </c>
      <c r="G16" t="s">
        <v>473</v>
      </c>
      <c r="H16" t="s">
        <v>106</v>
      </c>
      <c r="I16" t="s">
        <v>28</v>
      </c>
      <c r="J16" t="s">
        <v>29</v>
      </c>
      <c r="K16" t="s">
        <v>107</v>
      </c>
      <c r="M16" s="4" t="str">
        <f>IF(OR(F16="",F16="Nan"),"Missing",IF(PROPER(TRIM(messy_ecommerce_sales_data__27[[#This Row],[ Category]]))="Electronic","Electronics",PROPER(TRIM(messy_ecommerce_sales_data__27[[#This Row],[ Category]]))))</f>
        <v>Electronics</v>
      </c>
      <c r="N16" s="5" t="s">
        <v>523</v>
      </c>
      <c r="O16" s="4">
        <f>IF(LEN(TRIM(messy_ecommerce_sales_data__27[[#This Row],[Quantity]])) = 0, "Missing",IFERROR(VALUE(messy_ecommerce_sales_data__27[[#This Row],[Quantity]]),"Invalid"))</f>
        <v>2</v>
      </c>
      <c r="P16" s="4">
        <f t="shared" si="0"/>
        <v>413.13</v>
      </c>
      <c r="Q16" s="4">
        <f>IF(LEN(TRIM(messy_ecommerce_sales_data__27[[#This Row],[Total]])) = 0, "Missing",IFERROR(VALUE(SUBSTITUTE(SUBSTITUTE(messy_ecommerce_sales_data__27[[#This Row],[Total]],"$",""), ".",",")),"Invalid"))</f>
        <v>826.26</v>
      </c>
      <c r="R16" s="4">
        <f t="shared" si="1"/>
        <v>826.26</v>
      </c>
      <c r="S16" s="4" t="str">
        <f t="shared" si="2"/>
        <v>OK</v>
      </c>
    </row>
    <row r="17" spans="1:19" x14ac:dyDescent="0.3">
      <c r="A17">
        <v>115</v>
      </c>
      <c r="B17" t="s">
        <v>108</v>
      </c>
      <c r="C17" t="s">
        <v>109</v>
      </c>
      <c r="D17" t="s">
        <v>482</v>
      </c>
      <c r="E17" t="s">
        <v>101</v>
      </c>
      <c r="F17" t="s">
        <v>48</v>
      </c>
      <c r="G17" t="s">
        <v>473</v>
      </c>
      <c r="H17" t="s">
        <v>110</v>
      </c>
      <c r="I17" t="s">
        <v>28</v>
      </c>
      <c r="J17" t="s">
        <v>69</v>
      </c>
      <c r="K17" t="s">
        <v>111</v>
      </c>
      <c r="M17" s="4" t="str">
        <f>IF(OR(F17="",F17="Nan"),"Missing",IF(PROPER(TRIM(messy_ecommerce_sales_data__27[[#This Row],[ Category]]))="Electronic","Electronics",PROPER(TRIM(messy_ecommerce_sales_data__27[[#This Row],[ Category]]))))</f>
        <v>Books</v>
      </c>
      <c r="N17" s="5">
        <v>45667</v>
      </c>
      <c r="O17" s="4">
        <f>IF(LEN(TRIM(messy_ecommerce_sales_data__27[[#This Row],[Quantity]])) = 0, "Missing",IFERROR(VALUE(messy_ecommerce_sales_data__27[[#This Row],[Quantity]]),"Invalid"))</f>
        <v>2</v>
      </c>
      <c r="P17" s="4">
        <f t="shared" si="0"/>
        <v>796.84</v>
      </c>
      <c r="Q17" s="4">
        <f>IF(LEN(TRIM(messy_ecommerce_sales_data__27[[#This Row],[Total]])) = 0, "Missing",IFERROR(VALUE(SUBSTITUTE(SUBSTITUTE(messy_ecommerce_sales_data__27[[#This Row],[Total]],"$",""), ".",",")),"Invalid"))</f>
        <v>1115.576</v>
      </c>
      <c r="R17" s="4">
        <f t="shared" si="1"/>
        <v>1593.68</v>
      </c>
      <c r="S17" s="4" t="str">
        <f t="shared" si="2"/>
        <v>Mismatch</v>
      </c>
    </row>
    <row r="18" spans="1:19" x14ac:dyDescent="0.3">
      <c r="A18">
        <v>116</v>
      </c>
      <c r="B18" t="s">
        <v>112</v>
      </c>
      <c r="C18" t="s">
        <v>113</v>
      </c>
      <c r="D18" t="s">
        <v>114</v>
      </c>
      <c r="E18" t="s">
        <v>115</v>
      </c>
      <c r="F18" t="s">
        <v>27</v>
      </c>
      <c r="G18" t="s">
        <v>481</v>
      </c>
      <c r="H18" t="s">
        <v>474</v>
      </c>
      <c r="I18" t="s">
        <v>28</v>
      </c>
      <c r="J18" t="s">
        <v>36</v>
      </c>
      <c r="K18" t="s">
        <v>474</v>
      </c>
      <c r="M18" s="4" t="str">
        <f>IF(OR(F18="",F18="Nan"),"Missing",IF(PROPER(TRIM(messy_ecommerce_sales_data__27[[#This Row],[ Category]]))="Electronic","Electronics",PROPER(TRIM(messy_ecommerce_sales_data__27[[#This Row],[ Category]]))))</f>
        <v>Home</v>
      </c>
      <c r="N18" s="5">
        <v>45960</v>
      </c>
      <c r="O18" s="4">
        <f>IF(LEN(TRIM(messy_ecommerce_sales_data__27[[#This Row],[Quantity]])) = 0, "Missing",IFERROR(VALUE(messy_ecommerce_sales_data__27[[#This Row],[Quantity]]),"Invalid"))</f>
        <v>4</v>
      </c>
      <c r="P18" s="4" t="str">
        <f t="shared" si="0"/>
        <v>Invalid</v>
      </c>
      <c r="Q18" s="4" t="str">
        <f>IF(LEN(TRIM(messy_ecommerce_sales_data__27[[#This Row],[Total]])) = 0, "Missing",IFERROR(VALUE(SUBSTITUTE(SUBSTITUTE(messy_ecommerce_sales_data__27[[#This Row],[Total]],"$",""), ".",",")),"Invalid"))</f>
        <v>Missing</v>
      </c>
      <c r="R18" s="4" t="str">
        <f t="shared" si="1"/>
        <v>Cannot Calculate</v>
      </c>
      <c r="S18" s="4" t="str">
        <f t="shared" si="2"/>
        <v>No Data</v>
      </c>
    </row>
    <row r="19" spans="1:19" x14ac:dyDescent="0.3">
      <c r="A19">
        <v>117</v>
      </c>
      <c r="B19" t="s">
        <v>116</v>
      </c>
      <c r="C19" t="s">
        <v>117</v>
      </c>
      <c r="D19" t="s">
        <v>483</v>
      </c>
      <c r="E19" t="s">
        <v>26</v>
      </c>
      <c r="F19" t="s">
        <v>118</v>
      </c>
      <c r="G19" t="s">
        <v>484</v>
      </c>
      <c r="H19" t="s">
        <v>485</v>
      </c>
      <c r="I19" t="s">
        <v>28</v>
      </c>
      <c r="J19" t="s">
        <v>36</v>
      </c>
      <c r="K19" t="s">
        <v>486</v>
      </c>
      <c r="M19" s="4" t="str">
        <f>IF(OR(F19="",F19="Nan"),"Missing",IF(PROPER(TRIM(messy_ecommerce_sales_data__27[[#This Row],[ Category]]))="Electronic","Electronics",PROPER(TRIM(messy_ecommerce_sales_data__27[[#This Row],[ Category]]))))</f>
        <v>Electronics</v>
      </c>
      <c r="N19" s="5">
        <v>45700</v>
      </c>
      <c r="O19" s="4">
        <f>IF(LEN(TRIM(messy_ecommerce_sales_data__27[[#This Row],[Quantity]])) = 0, "Missing",IFERROR(VALUE(messy_ecommerce_sales_data__27[[#This Row],[Quantity]]),"Invalid"))</f>
        <v>-2</v>
      </c>
      <c r="P19" s="4">
        <f t="shared" si="0"/>
        <v>10000</v>
      </c>
      <c r="Q19" s="4">
        <f>IF(LEN(TRIM(messy_ecommerce_sales_data__27[[#This Row],[Total]])) = 0, "Missing",IFERROR(VALUE(SUBSTITUTE(SUBSTITUTE(messy_ecommerce_sales_data__27[[#This Row],[Total]],"$",""), ".",",")),"Invalid"))</f>
        <v>-20000</v>
      </c>
      <c r="R19" s="4">
        <f t="shared" si="1"/>
        <v>-20000</v>
      </c>
      <c r="S19" s="4" t="str">
        <f t="shared" si="2"/>
        <v>OK</v>
      </c>
    </row>
    <row r="20" spans="1:19" x14ac:dyDescent="0.3">
      <c r="A20">
        <v>118</v>
      </c>
      <c r="B20" t="s">
        <v>119</v>
      </c>
      <c r="C20" t="s">
        <v>120</v>
      </c>
      <c r="D20" t="s">
        <v>121</v>
      </c>
      <c r="E20" t="s">
        <v>47</v>
      </c>
      <c r="F20" t="s">
        <v>48</v>
      </c>
      <c r="G20" t="s">
        <v>476</v>
      </c>
      <c r="H20" t="s">
        <v>122</v>
      </c>
      <c r="I20" t="s">
        <v>35</v>
      </c>
      <c r="J20" t="s">
        <v>36</v>
      </c>
      <c r="K20" t="s">
        <v>123</v>
      </c>
      <c r="M20" s="4" t="str">
        <f>IF(OR(F20="",F20="Nan"),"Missing",IF(PROPER(TRIM(messy_ecommerce_sales_data__27[[#This Row],[ Category]]))="Electronic","Electronics",PROPER(TRIM(messy_ecommerce_sales_data__27[[#This Row],[ Category]]))))</f>
        <v>Books</v>
      </c>
      <c r="N20" s="5">
        <v>45808</v>
      </c>
      <c r="O20" s="4">
        <f>IF(LEN(TRIM(messy_ecommerce_sales_data__27[[#This Row],[Quantity]])) = 0, "Missing",IFERROR(VALUE(messy_ecommerce_sales_data__27[[#This Row],[Quantity]]),"Invalid"))</f>
        <v>5</v>
      </c>
      <c r="P20" s="4">
        <f t="shared" si="0"/>
        <v>247.82</v>
      </c>
      <c r="Q20" s="4">
        <f>IF(LEN(TRIM(messy_ecommerce_sales_data__27[[#This Row],[Total]])) = 0, "Missing",IFERROR(VALUE(SUBSTITUTE(SUBSTITUTE(messy_ecommerce_sales_data__27[[#This Row],[Total]],"$",""), ".",",")),"Invalid"))</f>
        <v>1239.0999999999999</v>
      </c>
      <c r="R20" s="4">
        <f t="shared" si="1"/>
        <v>1239.0999999999999</v>
      </c>
      <c r="S20" s="4" t="str">
        <f t="shared" si="2"/>
        <v>OK</v>
      </c>
    </row>
    <row r="21" spans="1:19" x14ac:dyDescent="0.3">
      <c r="A21">
        <v>119</v>
      </c>
      <c r="B21" t="s">
        <v>124</v>
      </c>
      <c r="C21" t="s">
        <v>125</v>
      </c>
      <c r="D21" t="s">
        <v>126</v>
      </c>
      <c r="E21" t="s">
        <v>83</v>
      </c>
      <c r="F21" t="s">
        <v>41</v>
      </c>
      <c r="G21" t="s">
        <v>481</v>
      </c>
      <c r="H21" t="s">
        <v>127</v>
      </c>
      <c r="I21" t="s">
        <v>28</v>
      </c>
      <c r="J21" t="s">
        <v>36</v>
      </c>
      <c r="K21" t="s">
        <v>128</v>
      </c>
      <c r="M21" s="4" t="str">
        <f>IF(OR(F21="",F21="Nan"),"Missing",IF(PROPER(TRIM(messy_ecommerce_sales_data__27[[#This Row],[ Category]]))="Electronic","Electronics",PROPER(TRIM(messy_ecommerce_sales_data__27[[#This Row],[ Category]]))))</f>
        <v>Sports</v>
      </c>
      <c r="N21" s="5">
        <v>45645</v>
      </c>
      <c r="O21" s="4">
        <f>IF(LEN(TRIM(messy_ecommerce_sales_data__27[[#This Row],[Quantity]])) = 0, "Missing",IFERROR(VALUE(messy_ecommerce_sales_data__27[[#This Row],[Quantity]]),"Invalid"))</f>
        <v>4</v>
      </c>
      <c r="P21" s="4">
        <f t="shared" si="0"/>
        <v>438.19</v>
      </c>
      <c r="Q21" s="4">
        <f>IF(LEN(TRIM(messy_ecommerce_sales_data__27[[#This Row],[Total]])) = 0, "Missing",IFERROR(VALUE(SUBSTITUTE(SUBSTITUTE(messy_ecommerce_sales_data__27[[#This Row],[Total]],"$",""), ".",",")),"Invalid"))</f>
        <v>1752.76</v>
      </c>
      <c r="R21" s="4">
        <f t="shared" si="1"/>
        <v>1752.76</v>
      </c>
      <c r="S21" s="4" t="str">
        <f t="shared" si="2"/>
        <v>OK</v>
      </c>
    </row>
    <row r="22" spans="1:19" x14ac:dyDescent="0.3">
      <c r="A22">
        <v>120</v>
      </c>
      <c r="B22" t="s">
        <v>129</v>
      </c>
      <c r="C22" t="s">
        <v>130</v>
      </c>
      <c r="D22" t="s">
        <v>131</v>
      </c>
      <c r="E22" t="s">
        <v>132</v>
      </c>
      <c r="F22" t="s">
        <v>133</v>
      </c>
      <c r="G22" t="s">
        <v>476</v>
      </c>
      <c r="H22" t="s">
        <v>134</v>
      </c>
      <c r="I22" t="s">
        <v>78</v>
      </c>
      <c r="J22" t="s">
        <v>60</v>
      </c>
      <c r="K22" t="s">
        <v>474</v>
      </c>
      <c r="M22" s="4" t="str">
        <f>IF(OR(F22="",F22="Nan"),"Missing",IF(PROPER(TRIM(messy_ecommerce_sales_data__27[[#This Row],[ Category]]))="Electronic","Electronics",PROPER(TRIM(messy_ecommerce_sales_data__27[[#This Row],[ Category]]))))</f>
        <v>Electronics</v>
      </c>
      <c r="N22" s="5">
        <v>45821</v>
      </c>
      <c r="O22" s="4">
        <f>IF(LEN(TRIM(messy_ecommerce_sales_data__27[[#This Row],[Quantity]])) = 0, "Missing",IFERROR(VALUE(messy_ecommerce_sales_data__27[[#This Row],[Quantity]]),"Invalid"))</f>
        <v>5</v>
      </c>
      <c r="P22" s="4">
        <f t="shared" si="0"/>
        <v>300</v>
      </c>
      <c r="Q22" s="4" t="str">
        <f>IF(LEN(TRIM(messy_ecommerce_sales_data__27[[#This Row],[Total]])) = 0, "Missing",IFERROR(VALUE(SUBSTITUTE(SUBSTITUTE(messy_ecommerce_sales_data__27[[#This Row],[Total]],"$",""), ".",",")),"Invalid"))</f>
        <v>Missing</v>
      </c>
      <c r="R22" s="4">
        <f t="shared" si="1"/>
        <v>1500</v>
      </c>
      <c r="S22" s="4" t="str">
        <f t="shared" si="2"/>
        <v>No Data</v>
      </c>
    </row>
    <row r="23" spans="1:19" x14ac:dyDescent="0.3">
      <c r="A23">
        <v>121</v>
      </c>
      <c r="B23" t="s">
        <v>135</v>
      </c>
      <c r="C23" t="s">
        <v>136</v>
      </c>
      <c r="D23" t="s">
        <v>487</v>
      </c>
      <c r="E23" t="s">
        <v>83</v>
      </c>
      <c r="F23" t="s">
        <v>41</v>
      </c>
      <c r="G23" t="s">
        <v>481</v>
      </c>
      <c r="H23" t="s">
        <v>137</v>
      </c>
      <c r="I23" t="s">
        <v>78</v>
      </c>
      <c r="J23" t="s">
        <v>43</v>
      </c>
      <c r="K23" t="s">
        <v>138</v>
      </c>
      <c r="M23" s="4" t="str">
        <f>IF(OR(F23="",F23="Nan"),"Missing",IF(PROPER(TRIM(messy_ecommerce_sales_data__27[[#This Row],[ Category]]))="Electronic","Electronics",PROPER(TRIM(messy_ecommerce_sales_data__27[[#This Row],[ Category]]))))</f>
        <v>Sports</v>
      </c>
      <c r="N23" s="5">
        <v>45941</v>
      </c>
      <c r="O23" s="4">
        <f>IF(LEN(TRIM(messy_ecommerce_sales_data__27[[#This Row],[Quantity]])) = 0, "Missing",IFERROR(VALUE(messy_ecommerce_sales_data__27[[#This Row],[Quantity]]),"Invalid"))</f>
        <v>4</v>
      </c>
      <c r="P23" s="4">
        <f t="shared" si="0"/>
        <v>523.01</v>
      </c>
      <c r="Q23" s="4">
        <f>IF(LEN(TRIM(messy_ecommerce_sales_data__27[[#This Row],[Total]])) = 0, "Missing",IFERROR(VALUE(SUBSTITUTE(SUBSTITUTE(messy_ecommerce_sales_data__27[[#This Row],[Total]],"$",""), ".",",")),"Invalid"))</f>
        <v>2092.04</v>
      </c>
      <c r="R23" s="4">
        <f t="shared" si="1"/>
        <v>2092.04</v>
      </c>
      <c r="S23" s="4" t="str">
        <f t="shared" si="2"/>
        <v>OK</v>
      </c>
    </row>
    <row r="24" spans="1:19" x14ac:dyDescent="0.3">
      <c r="A24">
        <v>122</v>
      </c>
      <c r="B24" t="s">
        <v>139</v>
      </c>
      <c r="C24" t="s">
        <v>140</v>
      </c>
      <c r="D24" t="s">
        <v>141</v>
      </c>
      <c r="E24" t="s">
        <v>115</v>
      </c>
      <c r="F24" t="s">
        <v>27</v>
      </c>
      <c r="G24" t="s">
        <v>473</v>
      </c>
      <c r="H24" t="s">
        <v>142</v>
      </c>
      <c r="I24" t="s">
        <v>35</v>
      </c>
      <c r="J24" t="s">
        <v>29</v>
      </c>
      <c r="K24" t="s">
        <v>143</v>
      </c>
      <c r="M24" s="4" t="str">
        <f>IF(OR(F24="",F24="Nan"),"Missing",IF(PROPER(TRIM(messy_ecommerce_sales_data__27[[#This Row],[ Category]]))="Electronic","Electronics",PROPER(TRIM(messy_ecommerce_sales_data__27[[#This Row],[ Category]]))))</f>
        <v>Home</v>
      </c>
      <c r="N24" s="5">
        <v>45793</v>
      </c>
      <c r="O24" s="4">
        <f>IF(LEN(TRIM(messy_ecommerce_sales_data__27[[#This Row],[Quantity]])) = 0, "Missing",IFERROR(VALUE(messy_ecommerce_sales_data__27[[#This Row],[Quantity]]),"Invalid"))</f>
        <v>2</v>
      </c>
      <c r="P24" s="4">
        <f t="shared" si="0"/>
        <v>556.92999999999995</v>
      </c>
      <c r="Q24" s="4">
        <f>IF(LEN(TRIM(messy_ecommerce_sales_data__27[[#This Row],[Total]])) = 0, "Missing",IFERROR(VALUE(SUBSTITUTE(SUBSTITUTE(messy_ecommerce_sales_data__27[[#This Row],[Total]],"$",""), ".",",")),"Invalid"))</f>
        <v>1113.8599999999999</v>
      </c>
      <c r="R24" s="4">
        <f t="shared" si="1"/>
        <v>1113.8599999999999</v>
      </c>
      <c r="S24" s="4" t="str">
        <f t="shared" si="2"/>
        <v>OK</v>
      </c>
    </row>
    <row r="25" spans="1:19" x14ac:dyDescent="0.3">
      <c r="A25">
        <v>123</v>
      </c>
      <c r="B25" t="s">
        <v>144</v>
      </c>
      <c r="C25" t="s">
        <v>145</v>
      </c>
      <c r="D25" t="s">
        <v>488</v>
      </c>
      <c r="E25" t="s">
        <v>146</v>
      </c>
      <c r="F25" t="s">
        <v>118</v>
      </c>
      <c r="G25" t="s">
        <v>469</v>
      </c>
      <c r="H25" t="s">
        <v>147</v>
      </c>
      <c r="I25" t="s">
        <v>28</v>
      </c>
      <c r="J25" t="s">
        <v>60</v>
      </c>
      <c r="K25" t="s">
        <v>148</v>
      </c>
      <c r="M25" s="4" t="str">
        <f>IF(OR(F25="",F25="Nan"),"Missing",IF(PROPER(TRIM(messy_ecommerce_sales_data__27[[#This Row],[ Category]]))="Electronic","Electronics",PROPER(TRIM(messy_ecommerce_sales_data__27[[#This Row],[ Category]]))))</f>
        <v>Electronics</v>
      </c>
      <c r="N25" s="5">
        <v>45936</v>
      </c>
      <c r="O25" s="4">
        <f>IF(LEN(TRIM(messy_ecommerce_sales_data__27[[#This Row],[Quantity]])) = 0, "Missing",IFERROR(VALUE(messy_ecommerce_sales_data__27[[#This Row],[Quantity]]),"Invalid"))</f>
        <v>3</v>
      </c>
      <c r="P25" s="4">
        <f t="shared" si="0"/>
        <v>615.91</v>
      </c>
      <c r="Q25" s="4">
        <f>IF(LEN(TRIM(messy_ecommerce_sales_data__27[[#This Row],[Total]])) = 0, "Missing",IFERROR(VALUE(SUBSTITUTE(SUBSTITUTE(messy_ecommerce_sales_data__27[[#This Row],[Total]],"$",""), ".",",")),"Invalid"))</f>
        <v>1847.73</v>
      </c>
      <c r="R25" s="4">
        <f t="shared" si="1"/>
        <v>1847.73</v>
      </c>
      <c r="S25" s="4" t="str">
        <f t="shared" si="2"/>
        <v>OK</v>
      </c>
    </row>
    <row r="26" spans="1:19" x14ac:dyDescent="0.3">
      <c r="A26">
        <v>124</v>
      </c>
      <c r="B26" t="s">
        <v>149</v>
      </c>
      <c r="C26" t="s">
        <v>150</v>
      </c>
      <c r="D26" t="s">
        <v>121</v>
      </c>
      <c r="E26" t="s">
        <v>89</v>
      </c>
      <c r="F26" t="s">
        <v>48</v>
      </c>
      <c r="G26" t="s">
        <v>476</v>
      </c>
      <c r="H26" t="s">
        <v>474</v>
      </c>
      <c r="I26" t="s">
        <v>35</v>
      </c>
      <c r="J26" t="s">
        <v>60</v>
      </c>
      <c r="K26" t="s">
        <v>474</v>
      </c>
      <c r="M26" s="4" t="str">
        <f>IF(OR(F26="",F26="Nan"),"Missing",IF(PROPER(TRIM(messy_ecommerce_sales_data__27[[#This Row],[ Category]]))="Electronic","Electronics",PROPER(TRIM(messy_ecommerce_sales_data__27[[#This Row],[ Category]]))))</f>
        <v>Books</v>
      </c>
      <c r="N26" s="5">
        <v>45808</v>
      </c>
      <c r="O26" s="4">
        <f>IF(LEN(TRIM(messy_ecommerce_sales_data__27[[#This Row],[Quantity]])) = 0, "Missing",IFERROR(VALUE(messy_ecommerce_sales_data__27[[#This Row],[Quantity]]),"Invalid"))</f>
        <v>5</v>
      </c>
      <c r="P26" s="4" t="str">
        <f t="shared" si="0"/>
        <v>Invalid</v>
      </c>
      <c r="Q26" s="4" t="str">
        <f>IF(LEN(TRIM(messy_ecommerce_sales_data__27[[#This Row],[Total]])) = 0, "Missing",IFERROR(VALUE(SUBSTITUTE(SUBSTITUTE(messy_ecommerce_sales_data__27[[#This Row],[Total]],"$",""), ".",",")),"Invalid"))</f>
        <v>Missing</v>
      </c>
      <c r="R26" s="4" t="str">
        <f t="shared" si="1"/>
        <v>Cannot Calculate</v>
      </c>
      <c r="S26" s="4" t="str">
        <f t="shared" si="2"/>
        <v>No Data</v>
      </c>
    </row>
    <row r="27" spans="1:19" x14ac:dyDescent="0.3">
      <c r="A27">
        <v>125</v>
      </c>
      <c r="B27" t="s">
        <v>151</v>
      </c>
      <c r="C27" t="s">
        <v>152</v>
      </c>
      <c r="D27" t="s">
        <v>489</v>
      </c>
      <c r="E27" t="s">
        <v>89</v>
      </c>
      <c r="F27" t="s">
        <v>48</v>
      </c>
      <c r="G27" t="s">
        <v>481</v>
      </c>
      <c r="H27" t="s">
        <v>153</v>
      </c>
      <c r="I27" t="s">
        <v>35</v>
      </c>
      <c r="J27" t="s">
        <v>29</v>
      </c>
      <c r="K27" t="s">
        <v>154</v>
      </c>
      <c r="M27" s="4" t="str">
        <f>IF(OR(F27="",F27="Nan"),"Missing",IF(PROPER(TRIM(messy_ecommerce_sales_data__27[[#This Row],[ Category]]))="Electronic","Electronics",PROPER(TRIM(messy_ecommerce_sales_data__27[[#This Row],[ Category]]))))</f>
        <v>Books</v>
      </c>
      <c r="N27" s="5">
        <v>45697</v>
      </c>
      <c r="O27" s="4">
        <f>IF(LEN(TRIM(messy_ecommerce_sales_data__27[[#This Row],[Quantity]])) = 0, "Missing",IFERROR(VALUE(messy_ecommerce_sales_data__27[[#This Row],[Quantity]]),"Invalid"))</f>
        <v>4</v>
      </c>
      <c r="P27" s="4">
        <f t="shared" si="0"/>
        <v>765.69</v>
      </c>
      <c r="Q27" s="4">
        <f>IF(LEN(TRIM(messy_ecommerce_sales_data__27[[#This Row],[Total]])) = 0, "Missing",IFERROR(VALUE(SUBSTITUTE(SUBSTITUTE(messy_ecommerce_sales_data__27[[#This Row],[Total]],"$",""), ".",",")),"Invalid"))</f>
        <v>3062.76</v>
      </c>
      <c r="R27" s="4">
        <f t="shared" si="1"/>
        <v>3062.76</v>
      </c>
      <c r="S27" s="4" t="str">
        <f t="shared" si="2"/>
        <v>OK</v>
      </c>
    </row>
    <row r="28" spans="1:19" x14ac:dyDescent="0.3">
      <c r="A28">
        <v>126</v>
      </c>
      <c r="B28" t="s">
        <v>155</v>
      </c>
      <c r="C28" t="s">
        <v>156</v>
      </c>
      <c r="D28" t="s">
        <v>157</v>
      </c>
      <c r="E28" t="s">
        <v>94</v>
      </c>
      <c r="F28" t="s">
        <v>95</v>
      </c>
      <c r="G28" t="s">
        <v>481</v>
      </c>
      <c r="H28" t="s">
        <v>158</v>
      </c>
      <c r="I28" t="s">
        <v>65</v>
      </c>
      <c r="J28" t="s">
        <v>60</v>
      </c>
      <c r="K28" t="s">
        <v>159</v>
      </c>
      <c r="M28" s="4" t="str">
        <f>IF(OR(F28="",F28="Nan"),"Missing",IF(PROPER(TRIM(messy_ecommerce_sales_data__27[[#This Row],[ Category]]))="Electronic","Electronics",PROPER(TRIM(messy_ecommerce_sales_data__27[[#This Row],[ Category]]))))</f>
        <v>Clothing</v>
      </c>
      <c r="N28" s="5">
        <v>45795</v>
      </c>
      <c r="O28" s="4">
        <f>IF(LEN(TRIM(messy_ecommerce_sales_data__27[[#This Row],[Quantity]])) = 0, "Missing",IFERROR(VALUE(messy_ecommerce_sales_data__27[[#This Row],[Quantity]]),"Invalid"))</f>
        <v>4</v>
      </c>
      <c r="P28" s="4">
        <f t="shared" si="0"/>
        <v>836.8</v>
      </c>
      <c r="Q28" s="4">
        <f>IF(LEN(TRIM(messy_ecommerce_sales_data__27[[#This Row],[Total]])) = 0, "Missing",IFERROR(VALUE(SUBSTITUTE(SUBSTITUTE(messy_ecommerce_sales_data__27[[#This Row],[Total]],"$",""), ".",",")),"Invalid"))</f>
        <v>3347.2</v>
      </c>
      <c r="R28" s="4">
        <f t="shared" si="1"/>
        <v>3347.2</v>
      </c>
      <c r="S28" s="4" t="str">
        <f t="shared" si="2"/>
        <v>OK</v>
      </c>
    </row>
    <row r="29" spans="1:19" x14ac:dyDescent="0.3">
      <c r="A29">
        <v>127</v>
      </c>
      <c r="B29" t="s">
        <v>160</v>
      </c>
      <c r="C29" t="s">
        <v>161</v>
      </c>
      <c r="D29" t="s">
        <v>490</v>
      </c>
      <c r="E29" t="s">
        <v>26</v>
      </c>
      <c r="F29" t="s">
        <v>27</v>
      </c>
      <c r="G29" t="s">
        <v>476</v>
      </c>
      <c r="H29" t="s">
        <v>162</v>
      </c>
      <c r="I29" t="s">
        <v>65</v>
      </c>
      <c r="J29" t="s">
        <v>69</v>
      </c>
      <c r="K29" t="s">
        <v>163</v>
      </c>
      <c r="M29" s="4" t="str">
        <f>IF(OR(F29="",F29="Nan"),"Missing",IF(PROPER(TRIM(messy_ecommerce_sales_data__27[[#This Row],[ Category]]))="Electronic","Electronics",PROPER(TRIM(messy_ecommerce_sales_data__27[[#This Row],[ Category]]))))</f>
        <v>Home</v>
      </c>
      <c r="N29" s="5">
        <v>45789</v>
      </c>
      <c r="O29" s="4">
        <f>IF(LEN(TRIM(messy_ecommerce_sales_data__27[[#This Row],[Quantity]])) = 0, "Missing",IFERROR(VALUE(messy_ecommerce_sales_data__27[[#This Row],[Quantity]]),"Invalid"))</f>
        <v>5</v>
      </c>
      <c r="P29" s="4">
        <f t="shared" si="0"/>
        <v>336.02</v>
      </c>
      <c r="Q29" s="4">
        <f>IF(LEN(TRIM(messy_ecommerce_sales_data__27[[#This Row],[Total]])) = 0, "Missing",IFERROR(VALUE(SUBSTITUTE(SUBSTITUTE(messy_ecommerce_sales_data__27[[#This Row],[Total]],"$",""), ".",",")),"Invalid"))</f>
        <v>1680.1</v>
      </c>
      <c r="R29" s="4">
        <f t="shared" si="1"/>
        <v>1680.1</v>
      </c>
      <c r="S29" s="4" t="str">
        <f t="shared" si="2"/>
        <v>OK</v>
      </c>
    </row>
    <row r="30" spans="1:19" x14ac:dyDescent="0.3">
      <c r="A30">
        <v>128</v>
      </c>
      <c r="B30" t="s">
        <v>164</v>
      </c>
      <c r="C30" t="s">
        <v>165</v>
      </c>
      <c r="D30" t="s">
        <v>491</v>
      </c>
      <c r="E30" t="s">
        <v>166</v>
      </c>
      <c r="F30" t="s">
        <v>167</v>
      </c>
      <c r="G30" t="s">
        <v>469</v>
      </c>
      <c r="H30" t="s">
        <v>168</v>
      </c>
      <c r="I30" t="s">
        <v>65</v>
      </c>
      <c r="J30" t="s">
        <v>43</v>
      </c>
      <c r="K30" t="s">
        <v>169</v>
      </c>
      <c r="M30" s="4" t="str">
        <f>IF(OR(F30="",F30="Nan"),"Missing",IF(PROPER(TRIM(messy_ecommerce_sales_data__27[[#This Row],[ Category]]))="Electronic","Electronics",PROPER(TRIM(messy_ecommerce_sales_data__27[[#This Row],[ Category]]))))</f>
        <v>Electronics</v>
      </c>
      <c r="N30" s="5">
        <v>45606</v>
      </c>
      <c r="O30" s="4">
        <f>IF(LEN(TRIM(messy_ecommerce_sales_data__27[[#This Row],[Quantity]])) = 0, "Missing",IFERROR(VALUE(messy_ecommerce_sales_data__27[[#This Row],[Quantity]]),"Invalid"))</f>
        <v>3</v>
      </c>
      <c r="P30" s="4">
        <f t="shared" si="0"/>
        <v>898.69</v>
      </c>
      <c r="Q30" s="4">
        <f>IF(LEN(TRIM(messy_ecommerce_sales_data__27[[#This Row],[Total]])) = 0, "Missing",IFERROR(VALUE(SUBSTITUTE(SUBSTITUTE(messy_ecommerce_sales_data__27[[#This Row],[Total]],"$",""), ".",",")),"Invalid"))</f>
        <v>2696.07</v>
      </c>
      <c r="R30" s="4">
        <f t="shared" si="1"/>
        <v>2696.07</v>
      </c>
      <c r="S30" s="4" t="str">
        <f t="shared" si="2"/>
        <v>OK</v>
      </c>
    </row>
    <row r="31" spans="1:19" x14ac:dyDescent="0.3">
      <c r="A31">
        <v>129</v>
      </c>
      <c r="B31" t="s">
        <v>170</v>
      </c>
      <c r="C31" t="s">
        <v>171</v>
      </c>
      <c r="D31" t="s">
        <v>172</v>
      </c>
      <c r="E31" t="s">
        <v>47</v>
      </c>
      <c r="F31" t="s">
        <v>48</v>
      </c>
      <c r="G31" t="s">
        <v>481</v>
      </c>
      <c r="H31" t="s">
        <v>173</v>
      </c>
      <c r="I31" t="s">
        <v>65</v>
      </c>
      <c r="J31" t="s">
        <v>69</v>
      </c>
      <c r="K31" t="s">
        <v>174</v>
      </c>
      <c r="M31" s="4" t="str">
        <f>IF(OR(F31="",F31="Nan"),"Missing",IF(PROPER(TRIM(messy_ecommerce_sales_data__27[[#This Row],[ Category]]))="Electronic","Electronics",PROPER(TRIM(messy_ecommerce_sales_data__27[[#This Row],[ Category]]))))</f>
        <v>Books</v>
      </c>
      <c r="N31" s="5">
        <v>45830</v>
      </c>
      <c r="O31" s="4">
        <f>IF(LEN(TRIM(messy_ecommerce_sales_data__27[[#This Row],[Quantity]])) = 0, "Missing",IFERROR(VALUE(messy_ecommerce_sales_data__27[[#This Row],[Quantity]]),"Invalid"))</f>
        <v>4</v>
      </c>
      <c r="P31" s="4">
        <f t="shared" si="0"/>
        <v>736.71</v>
      </c>
      <c r="Q31" s="4">
        <f>IF(LEN(TRIM(messy_ecommerce_sales_data__27[[#This Row],[Total]])) = 0, "Missing",IFERROR(VALUE(SUBSTITUTE(SUBSTITUTE(messy_ecommerce_sales_data__27[[#This Row],[Total]],"$",""), ".",",")),"Invalid"))</f>
        <v>2946.84</v>
      </c>
      <c r="R31" s="4">
        <f t="shared" si="1"/>
        <v>2946.84</v>
      </c>
      <c r="S31" s="4" t="str">
        <f t="shared" si="2"/>
        <v>OK</v>
      </c>
    </row>
    <row r="32" spans="1:19" x14ac:dyDescent="0.3">
      <c r="A32">
        <v>130</v>
      </c>
      <c r="B32" t="s">
        <v>175</v>
      </c>
      <c r="C32" t="s">
        <v>176</v>
      </c>
      <c r="D32" t="s">
        <v>177</v>
      </c>
      <c r="E32" t="s">
        <v>40</v>
      </c>
      <c r="F32" t="s">
        <v>41</v>
      </c>
      <c r="G32" t="s">
        <v>473</v>
      </c>
      <c r="H32" t="s">
        <v>474</v>
      </c>
      <c r="I32" t="s">
        <v>65</v>
      </c>
      <c r="J32" t="s">
        <v>36</v>
      </c>
      <c r="K32" t="s">
        <v>474</v>
      </c>
      <c r="M32" s="4" t="str">
        <f>IF(OR(F32="",F32="Nan"),"Missing",IF(PROPER(TRIM(messy_ecommerce_sales_data__27[[#This Row],[ Category]]))="Electronic","Electronics",PROPER(TRIM(messy_ecommerce_sales_data__27[[#This Row],[ Category]]))))</f>
        <v>Sports</v>
      </c>
      <c r="N32" s="5">
        <v>45884</v>
      </c>
      <c r="O32" s="4">
        <f>IF(LEN(TRIM(messy_ecommerce_sales_data__27[[#This Row],[Quantity]])) = 0, "Missing",IFERROR(VALUE(messy_ecommerce_sales_data__27[[#This Row],[Quantity]]),"Invalid"))</f>
        <v>2</v>
      </c>
      <c r="P32" s="4" t="str">
        <f t="shared" si="0"/>
        <v>Invalid</v>
      </c>
      <c r="Q32" s="4" t="str">
        <f>IF(LEN(TRIM(messy_ecommerce_sales_data__27[[#This Row],[Total]])) = 0, "Missing",IFERROR(VALUE(SUBSTITUTE(SUBSTITUTE(messy_ecommerce_sales_data__27[[#This Row],[Total]],"$",""), ".",",")),"Invalid"))</f>
        <v>Missing</v>
      </c>
      <c r="R32" s="4" t="str">
        <f t="shared" si="1"/>
        <v>Cannot Calculate</v>
      </c>
      <c r="S32" s="4" t="str">
        <f t="shared" si="2"/>
        <v>No Data</v>
      </c>
    </row>
    <row r="33" spans="1:19" x14ac:dyDescent="0.3">
      <c r="A33">
        <v>131</v>
      </c>
      <c r="B33" t="s">
        <v>178</v>
      </c>
      <c r="C33" t="s">
        <v>179</v>
      </c>
      <c r="D33" t="s">
        <v>492</v>
      </c>
      <c r="E33" t="s">
        <v>166</v>
      </c>
      <c r="F33" t="s">
        <v>27</v>
      </c>
      <c r="G33" t="s">
        <v>476</v>
      </c>
      <c r="H33" t="s">
        <v>180</v>
      </c>
      <c r="I33" t="s">
        <v>35</v>
      </c>
      <c r="J33" t="s">
        <v>29</v>
      </c>
      <c r="K33" t="s">
        <v>181</v>
      </c>
      <c r="M33" s="4" t="str">
        <f>IF(OR(F33="",F33="Nan"),"Missing",IF(PROPER(TRIM(messy_ecommerce_sales_data__27[[#This Row],[ Category]]))="Electronic","Electronics",PROPER(TRIM(messy_ecommerce_sales_data__27[[#This Row],[ Category]]))))</f>
        <v>Home</v>
      </c>
      <c r="N33" s="5">
        <v>45819</v>
      </c>
      <c r="O33" s="4">
        <f>IF(LEN(TRIM(messy_ecommerce_sales_data__27[[#This Row],[Quantity]])) = 0, "Missing",IFERROR(VALUE(messy_ecommerce_sales_data__27[[#This Row],[Quantity]]),"Invalid"))</f>
        <v>5</v>
      </c>
      <c r="P33" s="4">
        <f t="shared" si="0"/>
        <v>616.63</v>
      </c>
      <c r="Q33" s="4">
        <f>IF(LEN(TRIM(messy_ecommerce_sales_data__27[[#This Row],[Total]])) = 0, "Missing",IFERROR(VALUE(SUBSTITUTE(SUBSTITUTE(messy_ecommerce_sales_data__27[[#This Row],[Total]],"$",""), ".",",")),"Invalid"))</f>
        <v>3083.15</v>
      </c>
      <c r="R33" s="4">
        <f t="shared" si="1"/>
        <v>3083.15</v>
      </c>
      <c r="S33" s="4" t="str">
        <f t="shared" si="2"/>
        <v>OK</v>
      </c>
    </row>
    <row r="34" spans="1:19" x14ac:dyDescent="0.3">
      <c r="A34">
        <v>132</v>
      </c>
      <c r="B34" t="s">
        <v>182</v>
      </c>
      <c r="C34" t="s">
        <v>183</v>
      </c>
      <c r="D34" t="s">
        <v>493</v>
      </c>
      <c r="E34" t="s">
        <v>132</v>
      </c>
      <c r="F34" t="s">
        <v>133</v>
      </c>
      <c r="G34" t="s">
        <v>475</v>
      </c>
      <c r="H34" t="s">
        <v>184</v>
      </c>
      <c r="I34" t="s">
        <v>35</v>
      </c>
      <c r="J34" t="s">
        <v>43</v>
      </c>
      <c r="K34" t="s">
        <v>184</v>
      </c>
      <c r="M34" s="4" t="str">
        <f>IF(OR(F34="",F34="Nan"),"Missing",IF(PROPER(TRIM(messy_ecommerce_sales_data__27[[#This Row],[ Category]]))="Electronic","Electronics",PROPER(TRIM(messy_ecommerce_sales_data__27[[#This Row],[ Category]]))))</f>
        <v>Electronics</v>
      </c>
      <c r="N34" s="5">
        <v>45749</v>
      </c>
      <c r="O34" s="4">
        <f>IF(LEN(TRIM(messy_ecommerce_sales_data__27[[#This Row],[Quantity]])) = 0, "Missing",IFERROR(VALUE(messy_ecommerce_sales_data__27[[#This Row],[Quantity]]),"Invalid"))</f>
        <v>1</v>
      </c>
      <c r="P34" s="4">
        <f t="shared" si="0"/>
        <v>266.7</v>
      </c>
      <c r="Q34" s="4">
        <f>IF(LEN(TRIM(messy_ecommerce_sales_data__27[[#This Row],[Total]])) = 0, "Missing",IFERROR(VALUE(SUBSTITUTE(SUBSTITUTE(messy_ecommerce_sales_data__27[[#This Row],[Total]],"$",""), ".",",")),"Invalid"))</f>
        <v>266.7</v>
      </c>
      <c r="R34" s="4">
        <f t="shared" si="1"/>
        <v>266.7</v>
      </c>
      <c r="S34" s="4" t="str">
        <f t="shared" si="2"/>
        <v>OK</v>
      </c>
    </row>
    <row r="35" spans="1:19" x14ac:dyDescent="0.3">
      <c r="A35">
        <v>133</v>
      </c>
      <c r="B35" t="s">
        <v>185</v>
      </c>
      <c r="C35" t="s">
        <v>186</v>
      </c>
      <c r="D35" t="s">
        <v>494</v>
      </c>
      <c r="E35" t="s">
        <v>54</v>
      </c>
      <c r="F35" t="s">
        <v>187</v>
      </c>
      <c r="G35" t="s">
        <v>476</v>
      </c>
      <c r="H35" t="s">
        <v>188</v>
      </c>
      <c r="I35" t="s">
        <v>78</v>
      </c>
      <c r="J35" t="s">
        <v>29</v>
      </c>
      <c r="K35" t="s">
        <v>189</v>
      </c>
      <c r="M35" s="4" t="str">
        <f>IF(OR(F35="",F35="Nan"),"Missing",IF(PROPER(TRIM(messy_ecommerce_sales_data__27[[#This Row],[ Category]]))="Electronic","Electronics",PROPER(TRIM(messy_ecommerce_sales_data__27[[#This Row],[ Category]]))))</f>
        <v>Missing</v>
      </c>
      <c r="N35" s="5">
        <v>45631</v>
      </c>
      <c r="O35" s="4">
        <f>IF(LEN(TRIM(messy_ecommerce_sales_data__27[[#This Row],[Quantity]])) = 0, "Missing",IFERROR(VALUE(messy_ecommerce_sales_data__27[[#This Row],[Quantity]]),"Invalid"))</f>
        <v>5</v>
      </c>
      <c r="P35" s="4">
        <f t="shared" si="0"/>
        <v>343.24</v>
      </c>
      <c r="Q35" s="4">
        <f>IF(LEN(TRIM(messy_ecommerce_sales_data__27[[#This Row],[Total]])) = 0, "Missing",IFERROR(VALUE(SUBSTITUTE(SUBSTITUTE(messy_ecommerce_sales_data__27[[#This Row],[Total]],"$",""), ".",",")),"Invalid"))</f>
        <v>1716.2</v>
      </c>
      <c r="R35" s="4">
        <f t="shared" si="1"/>
        <v>1716.2</v>
      </c>
      <c r="S35" s="4" t="str">
        <f t="shared" si="2"/>
        <v>OK</v>
      </c>
    </row>
    <row r="36" spans="1:19" x14ac:dyDescent="0.3">
      <c r="A36">
        <v>134</v>
      </c>
      <c r="B36" t="s">
        <v>190</v>
      </c>
      <c r="C36" t="s">
        <v>191</v>
      </c>
      <c r="D36" t="s">
        <v>495</v>
      </c>
      <c r="E36" t="s">
        <v>192</v>
      </c>
      <c r="F36" t="s">
        <v>95</v>
      </c>
      <c r="G36" t="s">
        <v>496</v>
      </c>
      <c r="H36" t="s">
        <v>193</v>
      </c>
      <c r="I36" t="s">
        <v>35</v>
      </c>
      <c r="J36" t="s">
        <v>29</v>
      </c>
      <c r="K36" t="s">
        <v>194</v>
      </c>
      <c r="M36" s="4" t="str">
        <f>IF(OR(F36="",F36="Nan"),"Missing",IF(PROPER(TRIM(messy_ecommerce_sales_data__27[[#This Row],[ Category]]))="Electronic","Electronics",PROPER(TRIM(messy_ecommerce_sales_data__27[[#This Row],[ Category]]))))</f>
        <v>Clothing</v>
      </c>
      <c r="N36" s="5">
        <v>45934</v>
      </c>
      <c r="O36" s="4">
        <f>IF(LEN(TRIM(messy_ecommerce_sales_data__27[[#This Row],[Quantity]])) = 0, "Missing",IFERROR(VALUE(messy_ecommerce_sales_data__27[[#This Row],[Quantity]]),"Invalid"))</f>
        <v>-5</v>
      </c>
      <c r="P36" s="4">
        <f t="shared" si="0"/>
        <v>591.53</v>
      </c>
      <c r="Q36" s="4">
        <f>IF(LEN(TRIM(messy_ecommerce_sales_data__27[[#This Row],[Total]])) = 0, "Missing",IFERROR(VALUE(SUBSTITUTE(SUBSTITUTE(messy_ecommerce_sales_data__27[[#This Row],[Total]],"$",""), ".",",")),"Invalid"))</f>
        <v>-2957.65</v>
      </c>
      <c r="R36" s="4">
        <f t="shared" si="1"/>
        <v>-2957.6499999999996</v>
      </c>
      <c r="S36" s="4" t="str">
        <f t="shared" si="2"/>
        <v>OK</v>
      </c>
    </row>
    <row r="37" spans="1:19" x14ac:dyDescent="0.3">
      <c r="A37">
        <v>135</v>
      </c>
      <c r="B37" t="s">
        <v>195</v>
      </c>
      <c r="C37" t="s">
        <v>196</v>
      </c>
      <c r="D37" t="s">
        <v>489</v>
      </c>
      <c r="E37" t="s">
        <v>197</v>
      </c>
      <c r="F37" t="s">
        <v>167</v>
      </c>
      <c r="G37" t="s">
        <v>481</v>
      </c>
      <c r="H37" t="s">
        <v>198</v>
      </c>
      <c r="I37" t="s">
        <v>28</v>
      </c>
      <c r="J37" t="s">
        <v>60</v>
      </c>
      <c r="K37" t="s">
        <v>199</v>
      </c>
      <c r="M37" s="4" t="str">
        <f>IF(OR(F37="",F37="Nan"),"Missing",IF(PROPER(TRIM(messy_ecommerce_sales_data__27[[#This Row],[ Category]]))="Electronic","Electronics",PROPER(TRIM(messy_ecommerce_sales_data__27[[#This Row],[ Category]]))))</f>
        <v>Electronics</v>
      </c>
      <c r="N37" s="5">
        <v>45697</v>
      </c>
      <c r="O37" s="4">
        <f>IF(LEN(TRIM(messy_ecommerce_sales_data__27[[#This Row],[Quantity]])) = 0, "Missing",IFERROR(VALUE(messy_ecommerce_sales_data__27[[#This Row],[Quantity]]),"Invalid"))</f>
        <v>4</v>
      </c>
      <c r="P37" s="4">
        <f t="shared" si="0"/>
        <v>446.19</v>
      </c>
      <c r="Q37" s="4">
        <f>IF(LEN(TRIM(messy_ecommerce_sales_data__27[[#This Row],[Total]])) = 0, "Missing",IFERROR(VALUE(SUBSTITUTE(SUBSTITUTE(messy_ecommerce_sales_data__27[[#This Row],[Total]],"$",""), ".",",")),"Invalid"))</f>
        <v>1784.76</v>
      </c>
      <c r="R37" s="4">
        <f t="shared" si="1"/>
        <v>1784.76</v>
      </c>
      <c r="S37" s="4" t="str">
        <f t="shared" si="2"/>
        <v>OK</v>
      </c>
    </row>
    <row r="38" spans="1:19" x14ac:dyDescent="0.3">
      <c r="A38">
        <v>136</v>
      </c>
      <c r="B38" t="s">
        <v>200</v>
      </c>
      <c r="C38" t="s">
        <v>201</v>
      </c>
      <c r="D38" t="s">
        <v>497</v>
      </c>
      <c r="E38" t="s">
        <v>202</v>
      </c>
      <c r="F38" t="s">
        <v>474</v>
      </c>
      <c r="G38" t="s">
        <v>475</v>
      </c>
      <c r="H38" t="s">
        <v>203</v>
      </c>
      <c r="I38" t="s">
        <v>78</v>
      </c>
      <c r="J38" t="s">
        <v>43</v>
      </c>
      <c r="K38" t="s">
        <v>203</v>
      </c>
      <c r="M38" s="4" t="str">
        <f>IF(OR(F38="",F38="Nan"),"Missing",IF(PROPER(TRIM(messy_ecommerce_sales_data__27[[#This Row],[ Category]]))="Electronic","Electronics",PROPER(TRIM(messy_ecommerce_sales_data__27[[#This Row],[ Category]]))))</f>
        <v>Missing</v>
      </c>
      <c r="N38" s="5">
        <v>45820</v>
      </c>
      <c r="O38" s="4">
        <f>IF(LEN(TRIM(messy_ecommerce_sales_data__27[[#This Row],[Quantity]])) = 0, "Missing",IFERROR(VALUE(messy_ecommerce_sales_data__27[[#This Row],[Quantity]]),"Invalid"))</f>
        <v>1</v>
      </c>
      <c r="P38" s="4">
        <f t="shared" si="0"/>
        <v>696.71</v>
      </c>
      <c r="Q38" s="4">
        <f>IF(LEN(TRIM(messy_ecommerce_sales_data__27[[#This Row],[Total]])) = 0, "Missing",IFERROR(VALUE(SUBSTITUTE(SUBSTITUTE(messy_ecommerce_sales_data__27[[#This Row],[Total]],"$",""), ".",",")),"Invalid"))</f>
        <v>696.71</v>
      </c>
      <c r="R38" s="4">
        <f t="shared" si="1"/>
        <v>696.71</v>
      </c>
      <c r="S38" s="4" t="str">
        <f t="shared" si="2"/>
        <v>OK</v>
      </c>
    </row>
    <row r="39" spans="1:19" x14ac:dyDescent="0.3">
      <c r="A39">
        <v>137</v>
      </c>
      <c r="B39" t="s">
        <v>204</v>
      </c>
      <c r="C39" t="s">
        <v>205</v>
      </c>
      <c r="D39" t="s">
        <v>206</v>
      </c>
      <c r="E39" t="s">
        <v>146</v>
      </c>
      <c r="F39" t="s">
        <v>27</v>
      </c>
      <c r="G39" t="s">
        <v>469</v>
      </c>
      <c r="H39" t="s">
        <v>498</v>
      </c>
      <c r="I39" t="s">
        <v>28</v>
      </c>
      <c r="J39" t="s">
        <v>43</v>
      </c>
      <c r="K39" t="s">
        <v>499</v>
      </c>
      <c r="M39" s="4" t="str">
        <f>IF(OR(F39="",F39="Nan"),"Missing",IF(PROPER(TRIM(messy_ecommerce_sales_data__27[[#This Row],[ Category]]))="Electronic","Electronics",PROPER(TRIM(messy_ecommerce_sales_data__27[[#This Row],[ Category]]))))</f>
        <v>Home</v>
      </c>
      <c r="N39" s="5">
        <v>45711</v>
      </c>
      <c r="O39" s="4">
        <f>IF(LEN(TRIM(messy_ecommerce_sales_data__27[[#This Row],[Quantity]])) = 0, "Missing",IFERROR(VALUE(messy_ecommerce_sales_data__27[[#This Row],[Quantity]]),"Invalid"))</f>
        <v>3</v>
      </c>
      <c r="P39" s="4">
        <f t="shared" si="0"/>
        <v>-100</v>
      </c>
      <c r="Q39" s="4">
        <f>IF(LEN(TRIM(messy_ecommerce_sales_data__27[[#This Row],[Total]])) = 0, "Missing",IFERROR(VALUE(SUBSTITUTE(SUBSTITUTE(messy_ecommerce_sales_data__27[[#This Row],[Total]],"$",""), ".",",")),"Invalid"))</f>
        <v>-300</v>
      </c>
      <c r="R39" s="4">
        <f t="shared" si="1"/>
        <v>-300</v>
      </c>
      <c r="S39" s="4" t="str">
        <f t="shared" si="2"/>
        <v>OK</v>
      </c>
    </row>
    <row r="40" spans="1:19" x14ac:dyDescent="0.3">
      <c r="A40">
        <v>138</v>
      </c>
      <c r="B40" t="s">
        <v>207</v>
      </c>
      <c r="C40" t="s">
        <v>208</v>
      </c>
      <c r="D40" t="s">
        <v>500</v>
      </c>
      <c r="E40" t="s">
        <v>166</v>
      </c>
      <c r="F40" t="s">
        <v>27</v>
      </c>
      <c r="G40" t="s">
        <v>475</v>
      </c>
      <c r="H40" t="s">
        <v>209</v>
      </c>
      <c r="I40" t="s">
        <v>35</v>
      </c>
      <c r="J40" t="s">
        <v>36</v>
      </c>
      <c r="K40" t="s">
        <v>209</v>
      </c>
      <c r="M40" s="4" t="str">
        <f>IF(OR(F40="",F40="Nan"),"Missing",IF(PROPER(TRIM(messy_ecommerce_sales_data__27[[#This Row],[ Category]]))="Electronic","Electronics",PROPER(TRIM(messy_ecommerce_sales_data__27[[#This Row],[ Category]]))))</f>
        <v>Home</v>
      </c>
      <c r="N40" s="5">
        <v>45878</v>
      </c>
      <c r="O40" s="4">
        <f>IF(LEN(TRIM(messy_ecommerce_sales_data__27[[#This Row],[Quantity]])) = 0, "Missing",IFERROR(VALUE(messy_ecommerce_sales_data__27[[#This Row],[Quantity]]),"Invalid"))</f>
        <v>1</v>
      </c>
      <c r="P40" s="4">
        <f t="shared" si="0"/>
        <v>531.05999999999995</v>
      </c>
      <c r="Q40" s="4">
        <f>IF(LEN(TRIM(messy_ecommerce_sales_data__27[[#This Row],[Total]])) = 0, "Missing",IFERROR(VALUE(SUBSTITUTE(SUBSTITUTE(messy_ecommerce_sales_data__27[[#This Row],[Total]],"$",""), ".",",")),"Invalid"))</f>
        <v>531.05999999999995</v>
      </c>
      <c r="R40" s="4">
        <f t="shared" si="1"/>
        <v>531.05999999999995</v>
      </c>
      <c r="S40" s="4" t="str">
        <f t="shared" si="2"/>
        <v>OK</v>
      </c>
    </row>
    <row r="41" spans="1:19" x14ac:dyDescent="0.3">
      <c r="A41">
        <v>139</v>
      </c>
      <c r="B41" t="s">
        <v>210</v>
      </c>
      <c r="C41" t="s">
        <v>211</v>
      </c>
      <c r="D41" t="s">
        <v>489</v>
      </c>
      <c r="E41" t="s">
        <v>32</v>
      </c>
      <c r="F41" t="s">
        <v>33</v>
      </c>
      <c r="G41" t="s">
        <v>473</v>
      </c>
      <c r="H41" t="s">
        <v>212</v>
      </c>
      <c r="I41" t="s">
        <v>78</v>
      </c>
      <c r="J41" t="s">
        <v>60</v>
      </c>
      <c r="K41" t="s">
        <v>213</v>
      </c>
      <c r="M41" s="4" t="str">
        <f>IF(OR(F41="",F41="Nan"),"Missing",IF(PROPER(TRIM(messy_ecommerce_sales_data__27[[#This Row],[ Category]]))="Electronic","Electronics",PROPER(TRIM(messy_ecommerce_sales_data__27[[#This Row],[ Category]]))))</f>
        <v>Electronics</v>
      </c>
      <c r="N41" s="5">
        <v>45697</v>
      </c>
      <c r="O41" s="4">
        <f>IF(LEN(TRIM(messy_ecommerce_sales_data__27[[#This Row],[Quantity]])) = 0, "Missing",IFERROR(VALUE(messy_ecommerce_sales_data__27[[#This Row],[Quantity]]),"Invalid"))</f>
        <v>2</v>
      </c>
      <c r="P41" s="4">
        <f t="shared" si="0"/>
        <v>681.38</v>
      </c>
      <c r="Q41" s="4">
        <f>IF(LEN(TRIM(messy_ecommerce_sales_data__27[[#This Row],[Total]])) = 0, "Missing",IFERROR(VALUE(SUBSTITUTE(SUBSTITUTE(messy_ecommerce_sales_data__27[[#This Row],[Total]],"$",""), ".",",")),"Invalid"))</f>
        <v>1362.76</v>
      </c>
      <c r="R41" s="4">
        <f t="shared" si="1"/>
        <v>1362.76</v>
      </c>
      <c r="S41" s="4" t="str">
        <f t="shared" si="2"/>
        <v>OK</v>
      </c>
    </row>
    <row r="42" spans="1:19" x14ac:dyDescent="0.3">
      <c r="A42">
        <v>140</v>
      </c>
      <c r="B42" t="s">
        <v>214</v>
      </c>
      <c r="C42" t="s">
        <v>215</v>
      </c>
      <c r="D42" t="s">
        <v>216</v>
      </c>
      <c r="E42" t="s">
        <v>101</v>
      </c>
      <c r="F42" t="s">
        <v>48</v>
      </c>
      <c r="G42" t="s">
        <v>481</v>
      </c>
      <c r="H42" t="s">
        <v>217</v>
      </c>
      <c r="I42" t="s">
        <v>78</v>
      </c>
      <c r="J42" t="s">
        <v>69</v>
      </c>
      <c r="K42" t="s">
        <v>218</v>
      </c>
      <c r="M42" s="4" t="str">
        <f>IF(OR(F42="",F42="Nan"),"Missing",IF(PROPER(TRIM(messy_ecommerce_sales_data__27[[#This Row],[ Category]]))="Electronic","Electronics",PROPER(TRIM(messy_ecommerce_sales_data__27[[#This Row],[ Category]]))))</f>
        <v>Books</v>
      </c>
      <c r="N42" s="5">
        <v>45714</v>
      </c>
      <c r="O42" s="4">
        <f>IF(LEN(TRIM(messy_ecommerce_sales_data__27[[#This Row],[Quantity]])) = 0, "Missing",IFERROR(VALUE(messy_ecommerce_sales_data__27[[#This Row],[Quantity]]),"Invalid"))</f>
        <v>4</v>
      </c>
      <c r="P42" s="4">
        <f t="shared" si="0"/>
        <v>588.98</v>
      </c>
      <c r="Q42" s="4">
        <f>IF(LEN(TRIM(messy_ecommerce_sales_data__27[[#This Row],[Total]])) = 0, "Missing",IFERROR(VALUE(SUBSTITUTE(SUBSTITUTE(messy_ecommerce_sales_data__27[[#This Row],[Total]],"$",""), ".",",")),"Invalid"))</f>
        <v>2355.92</v>
      </c>
      <c r="R42" s="4">
        <f t="shared" si="1"/>
        <v>2355.92</v>
      </c>
      <c r="S42" s="4" t="str">
        <f t="shared" si="2"/>
        <v>OK</v>
      </c>
    </row>
    <row r="43" spans="1:19" x14ac:dyDescent="0.3">
      <c r="A43">
        <v>141</v>
      </c>
      <c r="B43" t="s">
        <v>219</v>
      </c>
      <c r="C43" t="s">
        <v>220</v>
      </c>
      <c r="D43" t="s">
        <v>221</v>
      </c>
      <c r="E43" t="s">
        <v>101</v>
      </c>
      <c r="F43" t="s">
        <v>48</v>
      </c>
      <c r="G43" t="s">
        <v>469</v>
      </c>
      <c r="H43" t="s">
        <v>222</v>
      </c>
      <c r="I43" t="s">
        <v>28</v>
      </c>
      <c r="J43" t="s">
        <v>69</v>
      </c>
      <c r="K43" t="s">
        <v>223</v>
      </c>
      <c r="M43" s="4" t="str">
        <f>IF(OR(F43="",F43="Nan"),"Missing",IF(PROPER(TRIM(messy_ecommerce_sales_data__27[[#This Row],[ Category]]))="Electronic","Electronics",PROPER(TRIM(messy_ecommerce_sales_data__27[[#This Row],[ Category]]))))</f>
        <v>Books</v>
      </c>
      <c r="N43" s="5">
        <v>45701</v>
      </c>
      <c r="O43" s="4">
        <f>IF(LEN(TRIM(messy_ecommerce_sales_data__27[[#This Row],[Quantity]])) = 0, "Missing",IFERROR(VALUE(messy_ecommerce_sales_data__27[[#This Row],[Quantity]]),"Invalid"))</f>
        <v>3</v>
      </c>
      <c r="P43" s="4">
        <f t="shared" si="0"/>
        <v>546.04</v>
      </c>
      <c r="Q43" s="4">
        <f>IF(LEN(TRIM(messy_ecommerce_sales_data__27[[#This Row],[Total]])) = 0, "Missing",IFERROR(VALUE(SUBSTITUTE(SUBSTITUTE(messy_ecommerce_sales_data__27[[#This Row],[Total]],"$",""), ".",",")),"Invalid"))</f>
        <v>1638.12</v>
      </c>
      <c r="R43" s="4">
        <f t="shared" si="1"/>
        <v>1638.12</v>
      </c>
      <c r="S43" s="4" t="str">
        <f t="shared" si="2"/>
        <v>OK</v>
      </c>
    </row>
    <row r="44" spans="1:19" x14ac:dyDescent="0.3">
      <c r="A44">
        <v>143</v>
      </c>
      <c r="B44" t="s">
        <v>228</v>
      </c>
      <c r="C44" t="s">
        <v>229</v>
      </c>
      <c r="D44" t="s">
        <v>501</v>
      </c>
      <c r="E44" t="s">
        <v>192</v>
      </c>
      <c r="F44" t="s">
        <v>95</v>
      </c>
      <c r="G44" t="s">
        <v>476</v>
      </c>
      <c r="H44" t="s">
        <v>230</v>
      </c>
      <c r="I44" t="s">
        <v>65</v>
      </c>
      <c r="J44" t="s">
        <v>60</v>
      </c>
      <c r="K44" t="s">
        <v>231</v>
      </c>
      <c r="M44" s="4" t="str">
        <f>IF(OR(F44="",F44="Nan"),"Missing",IF(PROPER(TRIM(messy_ecommerce_sales_data__27[[#This Row],[ Category]]))="Electronic","Electronics",PROPER(TRIM(messy_ecommerce_sales_data__27[[#This Row],[ Category]]))))</f>
        <v>Clothing</v>
      </c>
      <c r="N44" s="5">
        <v>45849</v>
      </c>
      <c r="O44" s="4">
        <f>IF(LEN(TRIM(messy_ecommerce_sales_data__27[[#This Row],[Quantity]])) = 0, "Missing",IFERROR(VALUE(messy_ecommerce_sales_data__27[[#This Row],[Quantity]]),"Invalid"))</f>
        <v>5</v>
      </c>
      <c r="P44" s="4">
        <f t="shared" si="0"/>
        <v>826.77</v>
      </c>
      <c r="Q44" s="4">
        <f>IF(LEN(TRIM(messy_ecommerce_sales_data__27[[#This Row],[Total]])) = 0, "Missing",IFERROR(VALUE(SUBSTITUTE(SUBSTITUTE(messy_ecommerce_sales_data__27[[#This Row],[Total]],"$",""), ".",",")),"Invalid"))</f>
        <v>4133.8500000000004</v>
      </c>
      <c r="R44" s="4">
        <f t="shared" si="1"/>
        <v>4133.8500000000004</v>
      </c>
      <c r="S44" s="4" t="str">
        <f t="shared" si="2"/>
        <v>OK</v>
      </c>
    </row>
    <row r="45" spans="1:19" x14ac:dyDescent="0.3">
      <c r="A45">
        <v>144</v>
      </c>
      <c r="B45" t="s">
        <v>232</v>
      </c>
      <c r="C45" t="s">
        <v>233</v>
      </c>
      <c r="D45" t="s">
        <v>234</v>
      </c>
      <c r="E45" t="s">
        <v>235</v>
      </c>
      <c r="F45" t="s">
        <v>41</v>
      </c>
      <c r="G45" t="s">
        <v>476</v>
      </c>
      <c r="H45" t="s">
        <v>236</v>
      </c>
      <c r="I45" t="s">
        <v>65</v>
      </c>
      <c r="J45" t="s">
        <v>36</v>
      </c>
      <c r="K45" t="s">
        <v>237</v>
      </c>
      <c r="M45" s="4" t="str">
        <f>IF(OR(F45="",F45="Nan"),"Missing",IF(PROPER(TRIM(messy_ecommerce_sales_data__27[[#This Row],[ Category]]))="Electronic","Electronics",PROPER(TRIM(messy_ecommerce_sales_data__27[[#This Row],[ Category]]))))</f>
        <v>Sports</v>
      </c>
      <c r="N45" s="5">
        <v>45684</v>
      </c>
      <c r="O45" s="4">
        <f>IF(LEN(TRIM(messy_ecommerce_sales_data__27[[#This Row],[Quantity]])) = 0, "Missing",IFERROR(VALUE(messy_ecommerce_sales_data__27[[#This Row],[Quantity]]),"Invalid"))</f>
        <v>5</v>
      </c>
      <c r="P45" s="4">
        <f t="shared" si="0"/>
        <v>849.07</v>
      </c>
      <c r="Q45" s="4">
        <f>IF(LEN(TRIM(messy_ecommerce_sales_data__27[[#This Row],[Total]])) = 0, "Missing",IFERROR(VALUE(SUBSTITUTE(SUBSTITUTE(messy_ecommerce_sales_data__27[[#This Row],[Total]],"$",""), ".",",")),"Invalid"))</f>
        <v>4245.3500000000004</v>
      </c>
      <c r="R45" s="4">
        <f t="shared" si="1"/>
        <v>4245.3500000000004</v>
      </c>
      <c r="S45" s="4" t="str">
        <f t="shared" si="2"/>
        <v>OK</v>
      </c>
    </row>
    <row r="46" spans="1:19" x14ac:dyDescent="0.3">
      <c r="A46">
        <v>145</v>
      </c>
      <c r="B46" t="s">
        <v>238</v>
      </c>
      <c r="C46" t="s">
        <v>239</v>
      </c>
      <c r="D46" t="s">
        <v>502</v>
      </c>
      <c r="E46" t="s">
        <v>240</v>
      </c>
      <c r="F46" t="s">
        <v>33</v>
      </c>
      <c r="G46" t="s">
        <v>473</v>
      </c>
      <c r="H46" t="s">
        <v>241</v>
      </c>
      <c r="I46" t="s">
        <v>65</v>
      </c>
      <c r="J46" t="s">
        <v>69</v>
      </c>
      <c r="K46" t="s">
        <v>242</v>
      </c>
      <c r="M46" s="4" t="str">
        <f>IF(OR(F46="",F46="Nan"),"Missing",IF(PROPER(TRIM(messy_ecommerce_sales_data__27[[#This Row],[ Category]]))="Electronic","Electronics",PROPER(TRIM(messy_ecommerce_sales_data__27[[#This Row],[ Category]]))))</f>
        <v>Electronics</v>
      </c>
      <c r="N46" s="5">
        <v>45047</v>
      </c>
      <c r="O46" s="4">
        <f>IF(LEN(TRIM(messy_ecommerce_sales_data__27[[#This Row],[Quantity]])) = 0, "Missing",IFERROR(VALUE(messy_ecommerce_sales_data__27[[#This Row],[Quantity]]),"Invalid"))</f>
        <v>2</v>
      </c>
      <c r="P46" s="4">
        <f t="shared" si="0"/>
        <v>860.99</v>
      </c>
      <c r="Q46" s="4">
        <f>IF(LEN(TRIM(messy_ecommerce_sales_data__27[[#This Row],[Total]])) = 0, "Missing",IFERROR(VALUE(SUBSTITUTE(SUBSTITUTE(messy_ecommerce_sales_data__27[[#This Row],[Total]],"$",""), ".",",")),"Invalid"))</f>
        <v>1721.98</v>
      </c>
      <c r="R46" s="4">
        <f t="shared" si="1"/>
        <v>1721.98</v>
      </c>
      <c r="S46" s="4" t="str">
        <f t="shared" si="2"/>
        <v>OK</v>
      </c>
    </row>
    <row r="47" spans="1:19" x14ac:dyDescent="0.3">
      <c r="A47">
        <v>146</v>
      </c>
      <c r="B47" t="s">
        <v>243</v>
      </c>
      <c r="C47" t="s">
        <v>244</v>
      </c>
      <c r="D47" t="s">
        <v>503</v>
      </c>
      <c r="E47" t="s">
        <v>83</v>
      </c>
      <c r="F47" t="s">
        <v>118</v>
      </c>
      <c r="G47" t="s">
        <v>473</v>
      </c>
      <c r="H47" t="s">
        <v>245</v>
      </c>
      <c r="I47" t="s">
        <v>65</v>
      </c>
      <c r="J47" t="s">
        <v>36</v>
      </c>
      <c r="K47" t="s">
        <v>246</v>
      </c>
      <c r="M47" s="4" t="str">
        <f>IF(OR(F47="",F47="Nan"),"Missing",IF(PROPER(TRIM(messy_ecommerce_sales_data__27[[#This Row],[ Category]]))="Electronic","Electronics",PROPER(TRIM(messy_ecommerce_sales_data__27[[#This Row],[ Category]]))))</f>
        <v>Electronics</v>
      </c>
      <c r="N47" s="5">
        <v>45847</v>
      </c>
      <c r="O47" s="4">
        <f>IF(LEN(TRIM(messy_ecommerce_sales_data__27[[#This Row],[Quantity]])) = 0, "Missing",IFERROR(VALUE(messy_ecommerce_sales_data__27[[#This Row],[Quantity]]),"Invalid"))</f>
        <v>2</v>
      </c>
      <c r="P47" s="4">
        <f t="shared" si="0"/>
        <v>705.42</v>
      </c>
      <c r="Q47" s="4">
        <f>IF(LEN(TRIM(messy_ecommerce_sales_data__27[[#This Row],[Total]])) = 0, "Missing",IFERROR(VALUE(SUBSTITUTE(SUBSTITUTE(messy_ecommerce_sales_data__27[[#This Row],[Total]],"$",""), ".",",")),"Invalid"))</f>
        <v>1410.84</v>
      </c>
      <c r="R47" s="4">
        <f t="shared" si="1"/>
        <v>1410.84</v>
      </c>
      <c r="S47" s="4" t="str">
        <f t="shared" si="2"/>
        <v>OK</v>
      </c>
    </row>
    <row r="48" spans="1:19" x14ac:dyDescent="0.3">
      <c r="A48">
        <v>147</v>
      </c>
      <c r="B48" t="s">
        <v>247</v>
      </c>
      <c r="C48" t="s">
        <v>248</v>
      </c>
      <c r="D48" t="s">
        <v>504</v>
      </c>
      <c r="E48" t="s">
        <v>249</v>
      </c>
      <c r="F48" t="s">
        <v>95</v>
      </c>
      <c r="G48" t="s">
        <v>481</v>
      </c>
      <c r="H48" t="s">
        <v>250</v>
      </c>
      <c r="I48" t="s">
        <v>28</v>
      </c>
      <c r="J48" t="s">
        <v>29</v>
      </c>
      <c r="K48" t="s">
        <v>251</v>
      </c>
      <c r="M48" s="4" t="str">
        <f>IF(OR(F48="",F48="Nan"),"Missing",IF(PROPER(TRIM(messy_ecommerce_sales_data__27[[#This Row],[ Category]]))="Electronic","Electronics",PROPER(TRIM(messy_ecommerce_sales_data__27[[#This Row],[ Category]]))))</f>
        <v>Clothing</v>
      </c>
      <c r="N48" s="5">
        <v>45778</v>
      </c>
      <c r="O48" s="4">
        <f>IF(LEN(TRIM(messy_ecommerce_sales_data__27[[#This Row],[Quantity]])) = 0, "Missing",IFERROR(VALUE(messy_ecommerce_sales_data__27[[#This Row],[Quantity]]),"Invalid"))</f>
        <v>4</v>
      </c>
      <c r="P48" s="4">
        <f t="shared" si="0"/>
        <v>596.15</v>
      </c>
      <c r="Q48" s="4">
        <f>IF(LEN(TRIM(messy_ecommerce_sales_data__27[[#This Row],[Total]])) = 0, "Missing",IFERROR(VALUE(SUBSTITUTE(SUBSTITUTE(messy_ecommerce_sales_data__27[[#This Row],[Total]],"$",""), ".",",")),"Invalid"))</f>
        <v>2384.6</v>
      </c>
      <c r="R48" s="4">
        <f t="shared" si="1"/>
        <v>2384.6</v>
      </c>
      <c r="S48" s="4" t="str">
        <f t="shared" si="2"/>
        <v>OK</v>
      </c>
    </row>
    <row r="49" spans="1:19" x14ac:dyDescent="0.3">
      <c r="A49">
        <v>148</v>
      </c>
      <c r="B49" t="s">
        <v>252</v>
      </c>
      <c r="C49" t="s">
        <v>253</v>
      </c>
      <c r="D49" t="s">
        <v>254</v>
      </c>
      <c r="E49" t="s">
        <v>40</v>
      </c>
      <c r="F49" t="s">
        <v>41</v>
      </c>
      <c r="G49" t="s">
        <v>475</v>
      </c>
      <c r="H49" t="s">
        <v>255</v>
      </c>
      <c r="I49" t="s">
        <v>28</v>
      </c>
      <c r="J49" t="s">
        <v>69</v>
      </c>
      <c r="K49" t="s">
        <v>255</v>
      </c>
      <c r="M49" s="4" t="str">
        <f>IF(OR(F49="",F49="Nan"),"Missing",IF(PROPER(TRIM(messy_ecommerce_sales_data__27[[#This Row],[ Category]]))="Electronic","Electronics",PROPER(TRIM(messy_ecommerce_sales_data__27[[#This Row],[ Category]]))))</f>
        <v>Sports</v>
      </c>
      <c r="N49" s="5">
        <v>45729</v>
      </c>
      <c r="O49" s="4">
        <f>IF(LEN(TRIM(messy_ecommerce_sales_data__27[[#This Row],[Quantity]])) = 0, "Missing",IFERROR(VALUE(messy_ecommerce_sales_data__27[[#This Row],[Quantity]]),"Invalid"))</f>
        <v>1</v>
      </c>
      <c r="P49" s="4">
        <f t="shared" si="0"/>
        <v>660.98</v>
      </c>
      <c r="Q49" s="4">
        <f>IF(LEN(TRIM(messy_ecommerce_sales_data__27[[#This Row],[Total]])) = 0, "Missing",IFERROR(VALUE(SUBSTITUTE(SUBSTITUTE(messy_ecommerce_sales_data__27[[#This Row],[Total]],"$",""), ".",",")),"Invalid"))</f>
        <v>660.98</v>
      </c>
      <c r="R49" s="4">
        <f t="shared" si="1"/>
        <v>660.98</v>
      </c>
      <c r="S49" s="4" t="str">
        <f t="shared" si="2"/>
        <v>OK</v>
      </c>
    </row>
    <row r="50" spans="1:19" x14ac:dyDescent="0.3">
      <c r="A50">
        <v>149</v>
      </c>
      <c r="B50" t="s">
        <v>256</v>
      </c>
      <c r="C50" t="s">
        <v>257</v>
      </c>
      <c r="D50" t="s">
        <v>258</v>
      </c>
      <c r="E50" t="s">
        <v>89</v>
      </c>
      <c r="F50" t="s">
        <v>48</v>
      </c>
      <c r="G50" t="s">
        <v>476</v>
      </c>
      <c r="H50" t="s">
        <v>259</v>
      </c>
      <c r="I50" t="s">
        <v>65</v>
      </c>
      <c r="J50" t="s">
        <v>60</v>
      </c>
      <c r="K50" t="s">
        <v>260</v>
      </c>
      <c r="M50" s="4" t="str">
        <f>IF(OR(F50="",F50="Nan"),"Missing",IF(PROPER(TRIM(messy_ecommerce_sales_data__27[[#This Row],[ Category]]))="Electronic","Electronics",PROPER(TRIM(messy_ecommerce_sales_data__27[[#This Row],[ Category]]))))</f>
        <v>Books</v>
      </c>
      <c r="N50" s="5">
        <v>45837</v>
      </c>
      <c r="O50" s="4">
        <f>IF(LEN(TRIM(messy_ecommerce_sales_data__27[[#This Row],[Quantity]])) = 0, "Missing",IFERROR(VALUE(messy_ecommerce_sales_data__27[[#This Row],[Quantity]]),"Invalid"))</f>
        <v>5</v>
      </c>
      <c r="P50" s="4">
        <f t="shared" si="0"/>
        <v>896.38</v>
      </c>
      <c r="Q50" s="4">
        <f>IF(LEN(TRIM(messy_ecommerce_sales_data__27[[#This Row],[Total]])) = 0, "Missing",IFERROR(VALUE(SUBSTITUTE(SUBSTITUTE(messy_ecommerce_sales_data__27[[#This Row],[Total]],"$",""), ".",",")),"Invalid"))</f>
        <v>4481.8999999999996</v>
      </c>
      <c r="R50" s="4">
        <f t="shared" si="1"/>
        <v>4481.8999999999996</v>
      </c>
      <c r="S50" s="4" t="str">
        <f t="shared" si="2"/>
        <v>OK</v>
      </c>
    </row>
    <row r="51" spans="1:19" x14ac:dyDescent="0.3">
      <c r="A51">
        <v>150</v>
      </c>
      <c r="B51" t="s">
        <v>261</v>
      </c>
      <c r="C51" t="s">
        <v>262</v>
      </c>
      <c r="D51" t="s">
        <v>263</v>
      </c>
      <c r="E51" t="s">
        <v>132</v>
      </c>
      <c r="F51" t="s">
        <v>41</v>
      </c>
      <c r="G51" t="s">
        <v>475</v>
      </c>
      <c r="H51" t="s">
        <v>264</v>
      </c>
      <c r="I51" t="s">
        <v>78</v>
      </c>
      <c r="J51" t="s">
        <v>69</v>
      </c>
      <c r="K51" t="s">
        <v>264</v>
      </c>
      <c r="M51" s="4" t="str">
        <f>IF(OR(F51="",F51="Nan"),"Missing",IF(PROPER(TRIM(messy_ecommerce_sales_data__27[[#This Row],[ Category]]))="Electronic","Electronics",PROPER(TRIM(messy_ecommerce_sales_data__27[[#This Row],[ Category]]))))</f>
        <v>Sports</v>
      </c>
      <c r="N51" s="5">
        <v>45623</v>
      </c>
      <c r="O51" s="4">
        <f>IF(LEN(TRIM(messy_ecommerce_sales_data__27[[#This Row],[Quantity]])) = 0, "Missing",IFERROR(VALUE(messy_ecommerce_sales_data__27[[#This Row],[Quantity]]),"Invalid"))</f>
        <v>1</v>
      </c>
      <c r="P51" s="4">
        <f t="shared" si="0"/>
        <v>206.19</v>
      </c>
      <c r="Q51" s="4">
        <f>IF(LEN(TRIM(messy_ecommerce_sales_data__27[[#This Row],[Total]])) = 0, "Missing",IFERROR(VALUE(SUBSTITUTE(SUBSTITUTE(messy_ecommerce_sales_data__27[[#This Row],[Total]],"$",""), ".",",")),"Invalid"))</f>
        <v>206.19</v>
      </c>
      <c r="R51" s="4">
        <f t="shared" si="1"/>
        <v>206.19</v>
      </c>
      <c r="S51" s="4" t="str">
        <f t="shared" si="2"/>
        <v>OK</v>
      </c>
    </row>
    <row r="52" spans="1:19" x14ac:dyDescent="0.3">
      <c r="A52">
        <v>151</v>
      </c>
      <c r="B52" t="s">
        <v>265</v>
      </c>
      <c r="C52" t="s">
        <v>266</v>
      </c>
      <c r="D52" t="s">
        <v>505</v>
      </c>
      <c r="E52" t="s">
        <v>89</v>
      </c>
      <c r="F52" t="s">
        <v>48</v>
      </c>
      <c r="G52" t="s">
        <v>473</v>
      </c>
      <c r="H52" t="s">
        <v>267</v>
      </c>
      <c r="I52" t="s">
        <v>35</v>
      </c>
      <c r="J52" t="s">
        <v>36</v>
      </c>
      <c r="K52" t="s">
        <v>268</v>
      </c>
      <c r="M52" s="4" t="str">
        <f>IF(OR(F52="",F52="Nan"),"Missing",IF(PROPER(TRIM(messy_ecommerce_sales_data__27[[#This Row],[ Category]]))="Electronic","Electronics",PROPER(TRIM(messy_ecommerce_sales_data__27[[#This Row],[ Category]]))))</f>
        <v>Books</v>
      </c>
      <c r="N52" s="5">
        <v>45839</v>
      </c>
      <c r="O52" s="4">
        <f>IF(LEN(TRIM(messy_ecommerce_sales_data__27[[#This Row],[Quantity]])) = 0, "Missing",IFERROR(VALUE(messy_ecommerce_sales_data__27[[#This Row],[Quantity]]),"Invalid"))</f>
        <v>2</v>
      </c>
      <c r="P52" s="4">
        <f t="shared" si="0"/>
        <v>457.16</v>
      </c>
      <c r="Q52" s="4">
        <f>IF(LEN(TRIM(messy_ecommerce_sales_data__27[[#This Row],[Total]])) = 0, "Missing",IFERROR(VALUE(SUBSTITUTE(SUBSTITUTE(messy_ecommerce_sales_data__27[[#This Row],[Total]],"$",""), ".",",")),"Invalid"))</f>
        <v>640.024</v>
      </c>
      <c r="R52" s="4">
        <f t="shared" si="1"/>
        <v>914.32</v>
      </c>
      <c r="S52" s="4" t="str">
        <f t="shared" si="2"/>
        <v>Mismatch</v>
      </c>
    </row>
    <row r="53" spans="1:19" x14ac:dyDescent="0.3">
      <c r="A53">
        <v>152</v>
      </c>
      <c r="B53" t="s">
        <v>269</v>
      </c>
      <c r="C53" t="s">
        <v>270</v>
      </c>
      <c r="D53" t="s">
        <v>271</v>
      </c>
      <c r="E53" t="s">
        <v>166</v>
      </c>
      <c r="F53" t="s">
        <v>27</v>
      </c>
      <c r="G53" t="s">
        <v>469</v>
      </c>
      <c r="H53" t="s">
        <v>272</v>
      </c>
      <c r="I53" t="s">
        <v>35</v>
      </c>
      <c r="J53" t="s">
        <v>69</v>
      </c>
      <c r="K53" t="s">
        <v>273</v>
      </c>
      <c r="M53" s="4" t="str">
        <f>IF(OR(F53="",F53="Nan"),"Missing",IF(PROPER(TRIM(messy_ecommerce_sales_data__27[[#This Row],[ Category]]))="Electronic","Electronics",PROPER(TRIM(messy_ecommerce_sales_data__27[[#This Row],[ Category]]))))</f>
        <v>Home</v>
      </c>
      <c r="N53" s="5">
        <v>45922</v>
      </c>
      <c r="O53" s="4">
        <f>IF(LEN(TRIM(messy_ecommerce_sales_data__27[[#This Row],[Quantity]])) = 0, "Missing",IFERROR(VALUE(messy_ecommerce_sales_data__27[[#This Row],[Quantity]]),"Invalid"))</f>
        <v>3</v>
      </c>
      <c r="P53" s="4">
        <f t="shared" si="0"/>
        <v>233.11</v>
      </c>
      <c r="Q53" s="4">
        <f>IF(LEN(TRIM(messy_ecommerce_sales_data__27[[#This Row],[Total]])) = 0, "Missing",IFERROR(VALUE(SUBSTITUTE(SUBSTITUTE(messy_ecommerce_sales_data__27[[#This Row],[Total]],"$",""), ".",",")),"Invalid"))</f>
        <v>699.33</v>
      </c>
      <c r="R53" s="4">
        <f t="shared" si="1"/>
        <v>699.33</v>
      </c>
      <c r="S53" s="4" t="str">
        <f t="shared" si="2"/>
        <v>OK</v>
      </c>
    </row>
    <row r="54" spans="1:19" x14ac:dyDescent="0.3">
      <c r="A54">
        <v>153</v>
      </c>
      <c r="B54" t="s">
        <v>274</v>
      </c>
      <c r="C54" t="s">
        <v>275</v>
      </c>
      <c r="D54" t="s">
        <v>276</v>
      </c>
      <c r="E54" t="s">
        <v>132</v>
      </c>
      <c r="F54" t="s">
        <v>41</v>
      </c>
      <c r="G54" t="s">
        <v>481</v>
      </c>
      <c r="H54" t="s">
        <v>277</v>
      </c>
      <c r="I54" t="s">
        <v>28</v>
      </c>
      <c r="J54" t="s">
        <v>36</v>
      </c>
      <c r="K54" t="s">
        <v>278</v>
      </c>
      <c r="M54" s="4" t="str">
        <f>IF(OR(F54="",F54="Nan"),"Missing",IF(PROPER(TRIM(messy_ecommerce_sales_data__27[[#This Row],[ Category]]))="Electronic","Electronics",PROPER(TRIM(messy_ecommerce_sales_data__27[[#This Row],[ Category]]))))</f>
        <v>Sports</v>
      </c>
      <c r="N54" s="5">
        <v>45854</v>
      </c>
      <c r="O54" s="4">
        <f>IF(LEN(TRIM(messy_ecommerce_sales_data__27[[#This Row],[Quantity]])) = 0, "Missing",IFERROR(VALUE(messy_ecommerce_sales_data__27[[#This Row],[Quantity]]),"Invalid"))</f>
        <v>4</v>
      </c>
      <c r="P54" s="4">
        <f t="shared" si="0"/>
        <v>278.89999999999998</v>
      </c>
      <c r="Q54" s="4">
        <f>IF(LEN(TRIM(messy_ecommerce_sales_data__27[[#This Row],[Total]])) = 0, "Missing",IFERROR(VALUE(SUBSTITUTE(SUBSTITUTE(messy_ecommerce_sales_data__27[[#This Row],[Total]],"$",""), ".",",")),"Invalid"))</f>
        <v>1115.5999999999999</v>
      </c>
      <c r="R54" s="4">
        <f t="shared" si="1"/>
        <v>1115.5999999999999</v>
      </c>
      <c r="S54" s="4" t="str">
        <f t="shared" si="2"/>
        <v>OK</v>
      </c>
    </row>
    <row r="55" spans="1:19" x14ac:dyDescent="0.3">
      <c r="A55">
        <v>154</v>
      </c>
      <c r="B55" t="s">
        <v>279</v>
      </c>
      <c r="C55" t="s">
        <v>280</v>
      </c>
      <c r="D55" t="s">
        <v>281</v>
      </c>
      <c r="E55" t="s">
        <v>26</v>
      </c>
      <c r="F55" t="s">
        <v>27</v>
      </c>
      <c r="G55" t="s">
        <v>476</v>
      </c>
      <c r="H55" t="s">
        <v>282</v>
      </c>
      <c r="I55" t="s">
        <v>28</v>
      </c>
      <c r="J55" t="s">
        <v>60</v>
      </c>
      <c r="K55" t="s">
        <v>283</v>
      </c>
      <c r="M55" s="4" t="str">
        <f>IF(OR(F55="",F55="Nan"),"Missing",IF(PROPER(TRIM(messy_ecommerce_sales_data__27[[#This Row],[ Category]]))="Electronic","Electronics",PROPER(TRIM(messy_ecommerce_sales_data__27[[#This Row],[ Category]]))))</f>
        <v>Home</v>
      </c>
      <c r="N55" s="5">
        <v>45709</v>
      </c>
      <c r="O55" s="4">
        <f>IF(LEN(TRIM(messy_ecommerce_sales_data__27[[#This Row],[Quantity]])) = 0, "Missing",IFERROR(VALUE(messy_ecommerce_sales_data__27[[#This Row],[Quantity]]),"Invalid"))</f>
        <v>5</v>
      </c>
      <c r="P55" s="4">
        <f t="shared" si="0"/>
        <v>789.64</v>
      </c>
      <c r="Q55" s="4">
        <f>IF(LEN(TRIM(messy_ecommerce_sales_data__27[[#This Row],[Total]])) = 0, "Missing",IFERROR(VALUE(SUBSTITUTE(SUBSTITUTE(messy_ecommerce_sales_data__27[[#This Row],[Total]],"$",""), ".",",")),"Invalid"))</f>
        <v>3948.2</v>
      </c>
      <c r="R55" s="4">
        <f t="shared" si="1"/>
        <v>3948.2</v>
      </c>
      <c r="S55" s="4" t="str">
        <f t="shared" si="2"/>
        <v>OK</v>
      </c>
    </row>
    <row r="56" spans="1:19" x14ac:dyDescent="0.3">
      <c r="A56">
        <v>155</v>
      </c>
      <c r="B56" t="s">
        <v>284</v>
      </c>
      <c r="C56" t="s">
        <v>285</v>
      </c>
      <c r="D56" t="s">
        <v>504</v>
      </c>
      <c r="E56" t="s">
        <v>94</v>
      </c>
      <c r="F56" t="s">
        <v>95</v>
      </c>
      <c r="G56" t="s">
        <v>475</v>
      </c>
      <c r="H56" t="s">
        <v>287</v>
      </c>
      <c r="I56" t="s">
        <v>35</v>
      </c>
      <c r="J56" t="s">
        <v>69</v>
      </c>
      <c r="K56" t="s">
        <v>287</v>
      </c>
      <c r="M56" s="4" t="str">
        <f>IF(OR(F56="",F56="Nan"),"Missing",IF(PROPER(TRIM(messy_ecommerce_sales_data__27[[#This Row],[ Category]]))="Electronic","Electronics",PROPER(TRIM(messy_ecommerce_sales_data__27[[#This Row],[ Category]]))))</f>
        <v>Clothing</v>
      </c>
      <c r="N56" s="5">
        <v>45778</v>
      </c>
      <c r="O56" s="4">
        <f>IF(LEN(TRIM(messy_ecommerce_sales_data__27[[#This Row],[Quantity]])) = 0, "Missing",IFERROR(VALUE(messy_ecommerce_sales_data__27[[#This Row],[Quantity]]),"Invalid"))</f>
        <v>1</v>
      </c>
      <c r="P56" s="4">
        <f t="shared" si="0"/>
        <v>40.950000000000003</v>
      </c>
      <c r="Q56" s="4">
        <f>IF(LEN(TRIM(messy_ecommerce_sales_data__27[[#This Row],[Total]])) = 0, "Missing",IFERROR(VALUE(SUBSTITUTE(SUBSTITUTE(messy_ecommerce_sales_data__27[[#This Row],[Total]],"$",""), ".",",")),"Invalid"))</f>
        <v>40.950000000000003</v>
      </c>
      <c r="R56" s="4">
        <f t="shared" si="1"/>
        <v>40.950000000000003</v>
      </c>
      <c r="S56" s="4" t="str">
        <f t="shared" si="2"/>
        <v>OK</v>
      </c>
    </row>
    <row r="57" spans="1:19" x14ac:dyDescent="0.3">
      <c r="A57">
        <v>156</v>
      </c>
      <c r="B57" t="s">
        <v>288</v>
      </c>
      <c r="C57" t="s">
        <v>289</v>
      </c>
      <c r="D57" t="s">
        <v>290</v>
      </c>
      <c r="E57" t="s">
        <v>291</v>
      </c>
      <c r="F57" t="s">
        <v>95</v>
      </c>
      <c r="G57" t="s">
        <v>473</v>
      </c>
      <c r="H57" t="s">
        <v>474</v>
      </c>
      <c r="I57" t="s">
        <v>65</v>
      </c>
      <c r="J57" t="s">
        <v>29</v>
      </c>
      <c r="K57" t="s">
        <v>474</v>
      </c>
      <c r="M57" s="4" t="str">
        <f>IF(OR(F57="",F57="Nan"),"Missing",IF(PROPER(TRIM(messy_ecommerce_sales_data__27[[#This Row],[ Category]]))="Electronic","Electronics",PROPER(TRIM(messy_ecommerce_sales_data__27[[#This Row],[ Category]]))))</f>
        <v>Clothing</v>
      </c>
      <c r="N57" s="5">
        <v>45624</v>
      </c>
      <c r="O57" s="4">
        <f>IF(LEN(TRIM(messy_ecommerce_sales_data__27[[#This Row],[Quantity]])) = 0, "Missing",IFERROR(VALUE(messy_ecommerce_sales_data__27[[#This Row],[Quantity]]),"Invalid"))</f>
        <v>2</v>
      </c>
      <c r="P57" s="4" t="str">
        <f t="shared" si="0"/>
        <v>Invalid</v>
      </c>
      <c r="Q57" s="4" t="str">
        <f>IF(LEN(TRIM(messy_ecommerce_sales_data__27[[#This Row],[Total]])) = 0, "Missing",IFERROR(VALUE(SUBSTITUTE(SUBSTITUTE(messy_ecommerce_sales_data__27[[#This Row],[Total]],"$",""), ".",",")),"Invalid"))</f>
        <v>Missing</v>
      </c>
      <c r="R57" s="4" t="str">
        <f t="shared" si="1"/>
        <v>Cannot Calculate</v>
      </c>
      <c r="S57" s="4" t="str">
        <f t="shared" si="2"/>
        <v>No Data</v>
      </c>
    </row>
    <row r="58" spans="1:19" x14ac:dyDescent="0.3">
      <c r="A58">
        <v>157</v>
      </c>
      <c r="B58" t="s">
        <v>292</v>
      </c>
      <c r="C58" t="s">
        <v>293</v>
      </c>
      <c r="D58" t="s">
        <v>506</v>
      </c>
      <c r="E58" t="s">
        <v>249</v>
      </c>
      <c r="F58" t="s">
        <v>95</v>
      </c>
      <c r="G58" t="s">
        <v>481</v>
      </c>
      <c r="H58" t="s">
        <v>294</v>
      </c>
      <c r="I58" t="s">
        <v>65</v>
      </c>
      <c r="J58" t="s">
        <v>36</v>
      </c>
      <c r="K58" t="s">
        <v>295</v>
      </c>
      <c r="M58" s="4" t="str">
        <f>IF(OR(F58="",F58="Nan"),"Missing",IF(PROPER(TRIM(messy_ecommerce_sales_data__27[[#This Row],[ Category]]))="Electronic","Electronics",PROPER(TRIM(messy_ecommerce_sales_data__27[[#This Row],[ Category]]))))</f>
        <v>Clothing</v>
      </c>
      <c r="N58" s="5">
        <v>45967</v>
      </c>
      <c r="O58" s="4">
        <f>IF(LEN(TRIM(messy_ecommerce_sales_data__27[[#This Row],[Quantity]])) = 0, "Missing",IFERROR(VALUE(messy_ecommerce_sales_data__27[[#This Row],[Quantity]]),"Invalid"))</f>
        <v>4</v>
      </c>
      <c r="P58" s="4">
        <f t="shared" si="0"/>
        <v>275.10000000000002</v>
      </c>
      <c r="Q58" s="4">
        <f>IF(LEN(TRIM(messy_ecommerce_sales_data__27[[#This Row],[Total]])) = 0, "Missing",IFERROR(VALUE(SUBSTITUTE(SUBSTITUTE(messy_ecommerce_sales_data__27[[#This Row],[Total]],"$",""), ".",",")),"Invalid"))</f>
        <v>1100.4000000000001</v>
      </c>
      <c r="R58" s="4">
        <f t="shared" si="1"/>
        <v>1100.4000000000001</v>
      </c>
      <c r="S58" s="4" t="str">
        <f t="shared" si="2"/>
        <v>OK</v>
      </c>
    </row>
    <row r="59" spans="1:19" x14ac:dyDescent="0.3">
      <c r="A59">
        <v>158</v>
      </c>
      <c r="B59" t="s">
        <v>296</v>
      </c>
      <c r="C59" t="s">
        <v>297</v>
      </c>
      <c r="D59" t="s">
        <v>507</v>
      </c>
      <c r="E59" t="s">
        <v>197</v>
      </c>
      <c r="F59" t="s">
        <v>33</v>
      </c>
      <c r="G59" t="s">
        <v>475</v>
      </c>
      <c r="H59" t="s">
        <v>298</v>
      </c>
      <c r="I59" t="s">
        <v>28</v>
      </c>
      <c r="J59" t="s">
        <v>29</v>
      </c>
      <c r="K59" t="s">
        <v>298</v>
      </c>
      <c r="M59" s="4" t="str">
        <f>IF(OR(F59="",F59="Nan"),"Missing",IF(PROPER(TRIM(messy_ecommerce_sales_data__27[[#This Row],[ Category]]))="Electronic","Electronics",PROPER(TRIM(messy_ecommerce_sales_data__27[[#This Row],[ Category]]))))</f>
        <v>Electronics</v>
      </c>
      <c r="N59" s="5">
        <v>45752</v>
      </c>
      <c r="O59" s="4">
        <f>IF(LEN(TRIM(messy_ecommerce_sales_data__27[[#This Row],[Quantity]])) = 0, "Missing",IFERROR(VALUE(messy_ecommerce_sales_data__27[[#This Row],[Quantity]]),"Invalid"))</f>
        <v>1</v>
      </c>
      <c r="P59" s="4">
        <f t="shared" si="0"/>
        <v>933.58</v>
      </c>
      <c r="Q59" s="4">
        <f>IF(LEN(TRIM(messy_ecommerce_sales_data__27[[#This Row],[Total]])) = 0, "Missing",IFERROR(VALUE(SUBSTITUTE(SUBSTITUTE(messy_ecommerce_sales_data__27[[#This Row],[Total]],"$",""), ".",",")),"Invalid"))</f>
        <v>933.58</v>
      </c>
      <c r="R59" s="4">
        <f t="shared" si="1"/>
        <v>933.58</v>
      </c>
      <c r="S59" s="4" t="str">
        <f t="shared" si="2"/>
        <v>OK</v>
      </c>
    </row>
    <row r="60" spans="1:19" x14ac:dyDescent="0.3">
      <c r="A60">
        <v>159</v>
      </c>
      <c r="B60" t="s">
        <v>299</v>
      </c>
      <c r="C60" t="s">
        <v>300</v>
      </c>
      <c r="D60" t="s">
        <v>301</v>
      </c>
      <c r="E60" t="s">
        <v>115</v>
      </c>
      <c r="F60" t="s">
        <v>27</v>
      </c>
      <c r="G60" t="s">
        <v>469</v>
      </c>
      <c r="H60" t="s">
        <v>302</v>
      </c>
      <c r="I60" t="s">
        <v>35</v>
      </c>
      <c r="J60" t="s">
        <v>29</v>
      </c>
      <c r="K60" t="s">
        <v>303</v>
      </c>
      <c r="M60" s="4" t="str">
        <f>IF(OR(F60="",F60="Nan"),"Missing",IF(PROPER(TRIM(messy_ecommerce_sales_data__27[[#This Row],[ Category]]))="Electronic","Electronics",PROPER(TRIM(messy_ecommerce_sales_data__27[[#This Row],[ Category]]))))</f>
        <v>Home</v>
      </c>
      <c r="N60" s="5">
        <v>45866</v>
      </c>
      <c r="O60" s="4">
        <f>IF(LEN(TRIM(messy_ecommerce_sales_data__27[[#This Row],[Quantity]])) = 0, "Missing",IFERROR(VALUE(messy_ecommerce_sales_data__27[[#This Row],[Quantity]]),"Invalid"))</f>
        <v>3</v>
      </c>
      <c r="P60" s="4">
        <f t="shared" si="0"/>
        <v>163.16</v>
      </c>
      <c r="Q60" s="4">
        <f>IF(LEN(TRIM(messy_ecommerce_sales_data__27[[#This Row],[Total]])) = 0, "Missing",IFERROR(VALUE(SUBSTITUTE(SUBSTITUTE(messy_ecommerce_sales_data__27[[#This Row],[Total]],"$",""), ".",",")),"Invalid"))</f>
        <v>489.48</v>
      </c>
      <c r="R60" s="4">
        <f t="shared" si="1"/>
        <v>489.48</v>
      </c>
      <c r="S60" s="4" t="str">
        <f t="shared" si="2"/>
        <v>OK</v>
      </c>
    </row>
    <row r="61" spans="1:19" x14ac:dyDescent="0.3">
      <c r="A61">
        <v>160</v>
      </c>
      <c r="B61" t="s">
        <v>304</v>
      </c>
      <c r="C61" t="s">
        <v>305</v>
      </c>
      <c r="D61" t="s">
        <v>478</v>
      </c>
      <c r="E61" t="s">
        <v>47</v>
      </c>
      <c r="F61" t="s">
        <v>48</v>
      </c>
      <c r="G61" t="s">
        <v>476</v>
      </c>
      <c r="H61" t="s">
        <v>306</v>
      </c>
      <c r="I61" t="s">
        <v>28</v>
      </c>
      <c r="J61" t="s">
        <v>69</v>
      </c>
      <c r="K61" t="s">
        <v>307</v>
      </c>
      <c r="M61" s="4" t="str">
        <f>IF(OR(F61="",F61="Nan"),"Missing",IF(PROPER(TRIM(messy_ecommerce_sales_data__27[[#This Row],[ Category]]))="Electronic","Electronics",PROPER(TRIM(messy_ecommerce_sales_data__27[[#This Row],[ Category]]))))</f>
        <v>Books</v>
      </c>
      <c r="N61" s="5">
        <v>45660</v>
      </c>
      <c r="O61" s="4">
        <f>IF(LEN(TRIM(messy_ecommerce_sales_data__27[[#This Row],[Quantity]])) = 0, "Missing",IFERROR(VALUE(messy_ecommerce_sales_data__27[[#This Row],[Quantity]]),"Invalid"))</f>
        <v>5</v>
      </c>
      <c r="P61" s="4">
        <f t="shared" si="0"/>
        <v>242.52</v>
      </c>
      <c r="Q61" s="4">
        <f>IF(LEN(TRIM(messy_ecommerce_sales_data__27[[#This Row],[Total]])) = 0, "Missing",IFERROR(VALUE(SUBSTITUTE(SUBSTITUTE(messy_ecommerce_sales_data__27[[#This Row],[Total]],"$",""), ".",",")),"Invalid"))</f>
        <v>1212.5999999999999</v>
      </c>
      <c r="R61" s="4">
        <f t="shared" si="1"/>
        <v>1212.6000000000001</v>
      </c>
      <c r="S61" s="4" t="str">
        <f t="shared" si="2"/>
        <v>OK</v>
      </c>
    </row>
    <row r="62" spans="1:19" x14ac:dyDescent="0.3">
      <c r="A62">
        <v>161</v>
      </c>
      <c r="B62" t="s">
        <v>308</v>
      </c>
      <c r="C62" t="s">
        <v>309</v>
      </c>
      <c r="D62" t="s">
        <v>310</v>
      </c>
      <c r="E62" t="s">
        <v>47</v>
      </c>
      <c r="F62" t="s">
        <v>48</v>
      </c>
      <c r="G62" t="s">
        <v>481</v>
      </c>
      <c r="H62" t="s">
        <v>311</v>
      </c>
      <c r="I62" t="s">
        <v>65</v>
      </c>
      <c r="J62" t="s">
        <v>29</v>
      </c>
      <c r="K62" t="s">
        <v>312</v>
      </c>
      <c r="M62" s="4" t="str">
        <f>IF(OR(F62="",F62="Nan"),"Missing",IF(PROPER(TRIM(messy_ecommerce_sales_data__27[[#This Row],[ Category]]))="Electronic","Electronics",PROPER(TRIM(messy_ecommerce_sales_data__27[[#This Row],[ Category]]))))</f>
        <v>Books</v>
      </c>
      <c r="N62" s="5">
        <v>45641</v>
      </c>
      <c r="O62" s="4">
        <f>IF(LEN(TRIM(messy_ecommerce_sales_data__27[[#This Row],[Quantity]])) = 0, "Missing",IFERROR(VALUE(messy_ecommerce_sales_data__27[[#This Row],[Quantity]]),"Invalid"))</f>
        <v>4</v>
      </c>
      <c r="P62" s="4">
        <f t="shared" si="0"/>
        <v>209.32</v>
      </c>
      <c r="Q62" s="4">
        <f>IF(LEN(TRIM(messy_ecommerce_sales_data__27[[#This Row],[Total]])) = 0, "Missing",IFERROR(VALUE(SUBSTITUTE(SUBSTITUTE(messy_ecommerce_sales_data__27[[#This Row],[Total]],"$",""), ".",",")),"Invalid"))</f>
        <v>837.28</v>
      </c>
      <c r="R62" s="4">
        <f t="shared" si="1"/>
        <v>837.28</v>
      </c>
      <c r="S62" s="4" t="str">
        <f t="shared" si="2"/>
        <v>OK</v>
      </c>
    </row>
    <row r="63" spans="1:19" x14ac:dyDescent="0.3">
      <c r="A63">
        <v>162</v>
      </c>
      <c r="B63" t="s">
        <v>313</v>
      </c>
      <c r="C63" t="s">
        <v>314</v>
      </c>
      <c r="D63" t="s">
        <v>315</v>
      </c>
      <c r="E63" t="s">
        <v>26</v>
      </c>
      <c r="F63" t="s">
        <v>27</v>
      </c>
      <c r="G63" t="s">
        <v>473</v>
      </c>
      <c r="H63" t="s">
        <v>316</v>
      </c>
      <c r="I63" t="s">
        <v>78</v>
      </c>
      <c r="J63" t="s">
        <v>69</v>
      </c>
      <c r="K63" t="s">
        <v>317</v>
      </c>
      <c r="M63" s="4" t="str">
        <f>IF(OR(F63="",F63="Nan"),"Missing",IF(PROPER(TRIM(messy_ecommerce_sales_data__27[[#This Row],[ Category]]))="Electronic","Electronics",PROPER(TRIM(messy_ecommerce_sales_data__27[[#This Row],[ Category]]))))</f>
        <v>Home</v>
      </c>
      <c r="N63" s="5">
        <v>45796</v>
      </c>
      <c r="O63" s="4">
        <f>IF(LEN(TRIM(messy_ecommerce_sales_data__27[[#This Row],[Quantity]])) = 0, "Missing",IFERROR(VALUE(messy_ecommerce_sales_data__27[[#This Row],[Quantity]]),"Invalid"))</f>
        <v>2</v>
      </c>
      <c r="P63" s="4">
        <f t="shared" si="0"/>
        <v>155.76</v>
      </c>
      <c r="Q63" s="4">
        <f>IF(LEN(TRIM(messy_ecommerce_sales_data__27[[#This Row],[Total]])) = 0, "Missing",IFERROR(VALUE(SUBSTITUTE(SUBSTITUTE(messy_ecommerce_sales_data__27[[#This Row],[Total]],"$",""), ".",",")),"Invalid"))</f>
        <v>311.52</v>
      </c>
      <c r="R63" s="4">
        <f t="shared" si="1"/>
        <v>311.52</v>
      </c>
      <c r="S63" s="4" t="str">
        <f t="shared" si="2"/>
        <v>OK</v>
      </c>
    </row>
    <row r="64" spans="1:19" x14ac:dyDescent="0.3">
      <c r="A64">
        <v>163</v>
      </c>
      <c r="B64" t="s">
        <v>318</v>
      </c>
      <c r="C64" t="s">
        <v>319</v>
      </c>
      <c r="D64" t="s">
        <v>508</v>
      </c>
      <c r="E64" t="s">
        <v>197</v>
      </c>
      <c r="F64" t="s">
        <v>33</v>
      </c>
      <c r="G64" t="s">
        <v>469</v>
      </c>
      <c r="H64" t="s">
        <v>320</v>
      </c>
      <c r="I64" t="s">
        <v>28</v>
      </c>
      <c r="J64" t="s">
        <v>29</v>
      </c>
      <c r="K64" t="s">
        <v>321</v>
      </c>
      <c r="M64" s="4" t="str">
        <f>IF(OR(F64="",F64="Nan"),"Missing",IF(PROPER(TRIM(messy_ecommerce_sales_data__27[[#This Row],[ Category]]))="Electronic","Electronics",PROPER(TRIM(messy_ecommerce_sales_data__27[[#This Row],[ Category]]))))</f>
        <v>Electronics</v>
      </c>
      <c r="N64" s="5">
        <v>44931</v>
      </c>
      <c r="O64" s="4">
        <f>IF(LEN(TRIM(messy_ecommerce_sales_data__27[[#This Row],[Quantity]])) = 0, "Missing",IFERROR(VALUE(messy_ecommerce_sales_data__27[[#This Row],[Quantity]]),"Invalid"))</f>
        <v>3</v>
      </c>
      <c r="P64" s="4">
        <f t="shared" si="0"/>
        <v>235.26</v>
      </c>
      <c r="Q64" s="4">
        <f>IF(LEN(TRIM(messy_ecommerce_sales_data__27[[#This Row],[Total]])) = 0, "Missing",IFERROR(VALUE(SUBSTITUTE(SUBSTITUTE(messy_ecommerce_sales_data__27[[#This Row],[Total]],"$",""), ".",",")),"Invalid"))</f>
        <v>705.78</v>
      </c>
      <c r="R64" s="4">
        <f t="shared" si="1"/>
        <v>705.78</v>
      </c>
      <c r="S64" s="4" t="str">
        <f t="shared" si="2"/>
        <v>OK</v>
      </c>
    </row>
    <row r="65" spans="1:19" x14ac:dyDescent="0.3">
      <c r="A65">
        <v>164</v>
      </c>
      <c r="B65" t="s">
        <v>322</v>
      </c>
      <c r="C65" t="s">
        <v>323</v>
      </c>
      <c r="D65" t="s">
        <v>489</v>
      </c>
      <c r="E65" t="s">
        <v>40</v>
      </c>
      <c r="F65" t="s">
        <v>41</v>
      </c>
      <c r="G65" t="s">
        <v>474</v>
      </c>
      <c r="H65" t="s">
        <v>324</v>
      </c>
      <c r="I65" t="s">
        <v>78</v>
      </c>
      <c r="J65" t="s">
        <v>69</v>
      </c>
      <c r="K65" t="s">
        <v>474</v>
      </c>
      <c r="M65" s="4" t="str">
        <f>IF(OR(F65="",F65="Nan"),"Missing",IF(PROPER(TRIM(messy_ecommerce_sales_data__27[[#This Row],[ Category]]))="Electronic","Electronics",PROPER(TRIM(messy_ecommerce_sales_data__27[[#This Row],[ Category]]))))</f>
        <v>Sports</v>
      </c>
      <c r="N65" s="5">
        <v>45697</v>
      </c>
      <c r="O65" s="4" t="str">
        <f>IF(LEN(TRIM(messy_ecommerce_sales_data__27[[#This Row],[Quantity]])) = 0, "Missing",IFERROR(VALUE(messy_ecommerce_sales_data__27[[#This Row],[Quantity]]),"Invalid"))</f>
        <v>Missing</v>
      </c>
      <c r="P65" s="4">
        <f t="shared" si="0"/>
        <v>587.64</v>
      </c>
      <c r="Q65" s="4" t="str">
        <f>IF(LEN(TRIM(messy_ecommerce_sales_data__27[[#This Row],[Total]])) = 0, "Missing",IFERROR(VALUE(SUBSTITUTE(SUBSTITUTE(messy_ecommerce_sales_data__27[[#This Row],[Total]],"$",""), ".",",")),"Invalid"))</f>
        <v>Missing</v>
      </c>
      <c r="R65" s="4" t="str">
        <f t="shared" si="1"/>
        <v>Cannot Calculate</v>
      </c>
      <c r="S65" s="4" t="str">
        <f t="shared" si="2"/>
        <v>No Data</v>
      </c>
    </row>
    <row r="66" spans="1:19" x14ac:dyDescent="0.3">
      <c r="A66">
        <v>165</v>
      </c>
      <c r="B66" t="s">
        <v>325</v>
      </c>
      <c r="C66" t="s">
        <v>326</v>
      </c>
      <c r="D66" t="s">
        <v>509</v>
      </c>
      <c r="E66" t="s">
        <v>94</v>
      </c>
      <c r="F66" t="s">
        <v>95</v>
      </c>
      <c r="G66" t="s">
        <v>473</v>
      </c>
      <c r="H66" t="s">
        <v>327</v>
      </c>
      <c r="I66" t="s">
        <v>78</v>
      </c>
      <c r="J66" t="s">
        <v>43</v>
      </c>
      <c r="K66" t="s">
        <v>328</v>
      </c>
      <c r="M66" s="4" t="str">
        <f>IF(OR(F66="",F66="Nan"),"Missing",IF(PROPER(TRIM(messy_ecommerce_sales_data__27[[#This Row],[ Category]]))="Electronic","Electronics",PROPER(TRIM(messy_ecommerce_sales_data__27[[#This Row],[ Category]]))))</f>
        <v>Clothing</v>
      </c>
      <c r="N66" s="5">
        <v>45604</v>
      </c>
      <c r="O66" s="4">
        <f>IF(LEN(TRIM(messy_ecommerce_sales_data__27[[#This Row],[Quantity]])) = 0, "Missing",IFERROR(VALUE(messy_ecommerce_sales_data__27[[#This Row],[Quantity]]),"Invalid"))</f>
        <v>2</v>
      </c>
      <c r="P66" s="4">
        <f t="shared" si="0"/>
        <v>443.13</v>
      </c>
      <c r="Q66" s="4">
        <f>IF(LEN(TRIM(messy_ecommerce_sales_data__27[[#This Row],[Total]])) = 0, "Missing",IFERROR(VALUE(SUBSTITUTE(SUBSTITUTE(messy_ecommerce_sales_data__27[[#This Row],[Total]],"$",""), ".",",")),"Invalid"))</f>
        <v>886.26</v>
      </c>
      <c r="R66" s="4">
        <f t="shared" si="1"/>
        <v>886.26</v>
      </c>
      <c r="S66" s="4" t="str">
        <f t="shared" si="2"/>
        <v>OK</v>
      </c>
    </row>
    <row r="67" spans="1:19" x14ac:dyDescent="0.3">
      <c r="A67">
        <v>166</v>
      </c>
      <c r="B67" t="s">
        <v>329</v>
      </c>
      <c r="C67" t="s">
        <v>330</v>
      </c>
      <c r="D67" t="s">
        <v>510</v>
      </c>
      <c r="E67" t="s">
        <v>192</v>
      </c>
      <c r="F67" t="s">
        <v>167</v>
      </c>
      <c r="G67" t="s">
        <v>473</v>
      </c>
      <c r="H67" t="s">
        <v>331</v>
      </c>
      <c r="I67" t="s">
        <v>28</v>
      </c>
      <c r="J67" t="s">
        <v>29</v>
      </c>
      <c r="K67" t="s">
        <v>332</v>
      </c>
      <c r="M67" s="4" t="str">
        <f>IF(OR(F67="",F67="Nan"),"Missing",IF(PROPER(TRIM(messy_ecommerce_sales_data__27[[#This Row],[ Category]]))="Electronic","Electronics",PROPER(TRIM(messy_ecommerce_sales_data__27[[#This Row],[ Category]]))))</f>
        <v>Electronics</v>
      </c>
      <c r="N67" s="5">
        <v>45841</v>
      </c>
      <c r="O67" s="4">
        <f>IF(LEN(TRIM(messy_ecommerce_sales_data__27[[#This Row],[Quantity]])) = 0, "Missing",IFERROR(VALUE(messy_ecommerce_sales_data__27[[#This Row],[Quantity]]),"Invalid"))</f>
        <v>2</v>
      </c>
      <c r="P67" s="4">
        <f t="shared" ref="P67:P101" si="3">IFERROR(VALUE(SUBSTITUTE(SUBSTITUTE(H67,"$",""), ".",",")),"Invalid")</f>
        <v>569.38</v>
      </c>
      <c r="Q67" s="4">
        <f>IF(LEN(TRIM(messy_ecommerce_sales_data__27[[#This Row],[Total]])) = 0, "Missing",IFERROR(VALUE(SUBSTITUTE(SUBSTITUTE(messy_ecommerce_sales_data__27[[#This Row],[Total]],"$",""), ".",",")),"Invalid"))</f>
        <v>1138.76</v>
      </c>
      <c r="R67" s="4">
        <f t="shared" ref="R67:R101" si="4">IFERROR(O67*P67, "Cannot Calculate")</f>
        <v>1138.76</v>
      </c>
      <c r="S67" s="4" t="str">
        <f t="shared" ref="S67:S101" si="5">IF(AND(ISNUMBER(R67),ISNUMBER(Q67)),IF(ROUND(R67,2)=ROUND(Q67,2),"OK","Mismatch"),"No Data")</f>
        <v>OK</v>
      </c>
    </row>
    <row r="68" spans="1:19" x14ac:dyDescent="0.3">
      <c r="A68">
        <v>167</v>
      </c>
      <c r="B68" t="s">
        <v>333</v>
      </c>
      <c r="C68" t="s">
        <v>334</v>
      </c>
      <c r="D68" t="s">
        <v>511</v>
      </c>
      <c r="E68" t="s">
        <v>83</v>
      </c>
      <c r="F68" t="s">
        <v>41</v>
      </c>
      <c r="G68" t="s">
        <v>474</v>
      </c>
      <c r="H68" t="s">
        <v>335</v>
      </c>
      <c r="I68" t="s">
        <v>28</v>
      </c>
      <c r="J68" t="s">
        <v>36</v>
      </c>
      <c r="K68" t="s">
        <v>474</v>
      </c>
      <c r="M68" s="4" t="str">
        <f>IF(OR(F68="",F68="Nan"),"Missing",IF(PROPER(TRIM(messy_ecommerce_sales_data__27[[#This Row],[ Category]]))="Electronic","Electronics",PROPER(TRIM(messy_ecommerce_sales_data__27[[#This Row],[ Category]]))))</f>
        <v>Sports</v>
      </c>
      <c r="N68" s="5">
        <v>45876</v>
      </c>
      <c r="O68" s="4" t="str">
        <f>IF(LEN(TRIM(messy_ecommerce_sales_data__27[[#This Row],[Quantity]])) = 0, "Missing",IFERROR(VALUE(messy_ecommerce_sales_data__27[[#This Row],[Quantity]]),"Invalid"))</f>
        <v>Missing</v>
      </c>
      <c r="P68" s="4">
        <f t="shared" si="3"/>
        <v>593.92999999999995</v>
      </c>
      <c r="Q68" s="4" t="str">
        <f>IF(LEN(TRIM(messy_ecommerce_sales_data__27[[#This Row],[Total]])) = 0, "Missing",IFERROR(VALUE(SUBSTITUTE(SUBSTITUTE(messy_ecommerce_sales_data__27[[#This Row],[Total]],"$",""), ".",",")),"Invalid"))</f>
        <v>Missing</v>
      </c>
      <c r="R68" s="4" t="str">
        <f t="shared" si="4"/>
        <v>Cannot Calculate</v>
      </c>
      <c r="S68" s="4" t="str">
        <f t="shared" si="5"/>
        <v>No Data</v>
      </c>
    </row>
    <row r="69" spans="1:19" x14ac:dyDescent="0.3">
      <c r="A69">
        <v>168</v>
      </c>
      <c r="B69" t="s">
        <v>336</v>
      </c>
      <c r="C69" t="s">
        <v>337</v>
      </c>
      <c r="D69" t="s">
        <v>512</v>
      </c>
      <c r="E69" t="s">
        <v>54</v>
      </c>
      <c r="F69" t="s">
        <v>48</v>
      </c>
      <c r="G69" t="s">
        <v>473</v>
      </c>
      <c r="H69" t="s">
        <v>338</v>
      </c>
      <c r="I69" t="s">
        <v>35</v>
      </c>
      <c r="J69" t="s">
        <v>60</v>
      </c>
      <c r="K69" t="s">
        <v>339</v>
      </c>
      <c r="M69" s="4" t="str">
        <f>IF(OR(F69="",F69="Nan"),"Missing",IF(PROPER(TRIM(messy_ecommerce_sales_data__27[[#This Row],[ Category]]))="Electronic","Electronics",PROPER(TRIM(messy_ecommerce_sales_data__27[[#This Row],[ Category]]))))</f>
        <v>Books</v>
      </c>
      <c r="N69" s="5">
        <v>45965</v>
      </c>
      <c r="O69" s="4">
        <f>IF(LEN(TRIM(messy_ecommerce_sales_data__27[[#This Row],[Quantity]])) = 0, "Missing",IFERROR(VALUE(messy_ecommerce_sales_data__27[[#This Row],[Quantity]]),"Invalid"))</f>
        <v>2</v>
      </c>
      <c r="P69" s="4">
        <f t="shared" si="3"/>
        <v>141.49</v>
      </c>
      <c r="Q69" s="4">
        <f>IF(LEN(TRIM(messy_ecommerce_sales_data__27[[#This Row],[Total]])) = 0, "Missing",IFERROR(VALUE(SUBSTITUTE(SUBSTITUTE(messy_ecommerce_sales_data__27[[#This Row],[Total]],"$",""), ".",",")),"Invalid"))</f>
        <v>282.98</v>
      </c>
      <c r="R69" s="4">
        <f t="shared" si="4"/>
        <v>282.98</v>
      </c>
      <c r="S69" s="4" t="str">
        <f t="shared" si="5"/>
        <v>OK</v>
      </c>
    </row>
    <row r="70" spans="1:19" x14ac:dyDescent="0.3">
      <c r="A70">
        <v>169</v>
      </c>
      <c r="B70" t="s">
        <v>340</v>
      </c>
      <c r="C70" t="s">
        <v>341</v>
      </c>
      <c r="D70" t="s">
        <v>513</v>
      </c>
      <c r="E70" t="s">
        <v>83</v>
      </c>
      <c r="F70" t="s">
        <v>41</v>
      </c>
      <c r="G70" t="s">
        <v>475</v>
      </c>
      <c r="H70" t="s">
        <v>342</v>
      </c>
      <c r="I70" t="s">
        <v>78</v>
      </c>
      <c r="J70" t="s">
        <v>69</v>
      </c>
      <c r="K70" t="s">
        <v>342</v>
      </c>
      <c r="M70" s="4" t="str">
        <f>IF(OR(F70="",F70="Nan"),"Missing",IF(PROPER(TRIM(messy_ecommerce_sales_data__27[[#This Row],[ Category]]))="Electronic","Electronics",PROPER(TRIM(messy_ecommerce_sales_data__27[[#This Row],[ Category]]))))</f>
        <v>Sports</v>
      </c>
      <c r="N70" s="5">
        <v>45881</v>
      </c>
      <c r="O70" s="4">
        <f>IF(LEN(TRIM(messy_ecommerce_sales_data__27[[#This Row],[Quantity]])) = 0, "Missing",IFERROR(VALUE(messy_ecommerce_sales_data__27[[#This Row],[Quantity]]),"Invalid"))</f>
        <v>1</v>
      </c>
      <c r="P70" s="4">
        <f t="shared" si="3"/>
        <v>582.13</v>
      </c>
      <c r="Q70" s="4">
        <f>IF(LEN(TRIM(messy_ecommerce_sales_data__27[[#This Row],[Total]])) = 0, "Missing",IFERROR(VALUE(SUBSTITUTE(SUBSTITUTE(messy_ecommerce_sales_data__27[[#This Row],[Total]],"$",""), ".",",")),"Invalid"))</f>
        <v>582.13</v>
      </c>
      <c r="R70" s="4">
        <f t="shared" si="4"/>
        <v>582.13</v>
      </c>
      <c r="S70" s="4" t="str">
        <f t="shared" si="5"/>
        <v>OK</v>
      </c>
    </row>
    <row r="71" spans="1:19" x14ac:dyDescent="0.3">
      <c r="A71">
        <v>170</v>
      </c>
      <c r="B71" t="s">
        <v>343</v>
      </c>
      <c r="C71" t="s">
        <v>344</v>
      </c>
      <c r="D71" t="s">
        <v>514</v>
      </c>
      <c r="E71" t="s">
        <v>291</v>
      </c>
      <c r="F71" t="s">
        <v>95</v>
      </c>
      <c r="G71" t="s">
        <v>476</v>
      </c>
      <c r="H71" t="s">
        <v>345</v>
      </c>
      <c r="I71" t="s">
        <v>65</v>
      </c>
      <c r="J71" t="s">
        <v>36</v>
      </c>
      <c r="K71" t="s">
        <v>346</v>
      </c>
      <c r="M71" s="4" t="str">
        <f>IF(OR(F71="",F71="Nan"),"Missing",IF(PROPER(TRIM(messy_ecommerce_sales_data__27[[#This Row],[ Category]]))="Electronic","Electronics",PROPER(TRIM(messy_ecommerce_sales_data__27[[#This Row],[ Category]]))))</f>
        <v>Clothing</v>
      </c>
      <c r="N71" s="5">
        <v>45933</v>
      </c>
      <c r="O71" s="4">
        <f>IF(LEN(TRIM(messy_ecommerce_sales_data__27[[#This Row],[Quantity]])) = 0, "Missing",IFERROR(VALUE(messy_ecommerce_sales_data__27[[#This Row],[Quantity]]),"Invalid"))</f>
        <v>5</v>
      </c>
      <c r="P71" s="4">
        <f t="shared" si="3"/>
        <v>741.63</v>
      </c>
      <c r="Q71" s="4">
        <f>IF(LEN(TRIM(messy_ecommerce_sales_data__27[[#This Row],[Total]])) = 0, "Missing",IFERROR(VALUE(SUBSTITUTE(SUBSTITUTE(messy_ecommerce_sales_data__27[[#This Row],[Total]],"$",""), ".",",")),"Invalid"))</f>
        <v>3708.15</v>
      </c>
      <c r="R71" s="4">
        <f t="shared" si="4"/>
        <v>3708.15</v>
      </c>
      <c r="S71" s="4" t="str">
        <f t="shared" si="5"/>
        <v>OK</v>
      </c>
    </row>
    <row r="72" spans="1:19" x14ac:dyDescent="0.3">
      <c r="A72">
        <v>171</v>
      </c>
      <c r="B72" t="s">
        <v>347</v>
      </c>
      <c r="C72" t="s">
        <v>348</v>
      </c>
      <c r="D72" t="s">
        <v>515</v>
      </c>
      <c r="E72" t="s">
        <v>94</v>
      </c>
      <c r="F72" t="s">
        <v>95</v>
      </c>
      <c r="G72" t="s">
        <v>469</v>
      </c>
      <c r="H72" t="s">
        <v>349</v>
      </c>
      <c r="I72" t="s">
        <v>35</v>
      </c>
      <c r="J72" t="s">
        <v>36</v>
      </c>
      <c r="K72" t="s">
        <v>350</v>
      </c>
      <c r="M72" s="4" t="str">
        <f>IF(OR(F72="",F72="Nan"),"Missing",IF(PROPER(TRIM(messy_ecommerce_sales_data__27[[#This Row],[ Category]]))="Electronic","Electronics",PROPER(TRIM(messy_ecommerce_sales_data__27[[#This Row],[ Category]]))))</f>
        <v>Clothing</v>
      </c>
      <c r="N72" s="5">
        <v>45632</v>
      </c>
      <c r="O72" s="4">
        <f>IF(LEN(TRIM(messy_ecommerce_sales_data__27[[#This Row],[Quantity]])) = 0, "Missing",IFERROR(VALUE(messy_ecommerce_sales_data__27[[#This Row],[Quantity]]),"Invalid"))</f>
        <v>3</v>
      </c>
      <c r="P72" s="4">
        <f t="shared" si="3"/>
        <v>688.68</v>
      </c>
      <c r="Q72" s="4">
        <f>IF(LEN(TRIM(messy_ecommerce_sales_data__27[[#This Row],[Total]])) = 0, "Missing",IFERROR(VALUE(SUBSTITUTE(SUBSTITUTE(messy_ecommerce_sales_data__27[[#This Row],[Total]],"$",""), ".",",")),"Invalid"))</f>
        <v>2066.04</v>
      </c>
      <c r="R72" s="4">
        <f t="shared" si="4"/>
        <v>2066.04</v>
      </c>
      <c r="S72" s="4" t="str">
        <f t="shared" si="5"/>
        <v>OK</v>
      </c>
    </row>
    <row r="73" spans="1:19" x14ac:dyDescent="0.3">
      <c r="A73">
        <v>172</v>
      </c>
      <c r="B73" t="s">
        <v>351</v>
      </c>
      <c r="C73" t="s">
        <v>352</v>
      </c>
      <c r="D73" t="s">
        <v>353</v>
      </c>
      <c r="E73" t="s">
        <v>89</v>
      </c>
      <c r="F73" t="s">
        <v>48</v>
      </c>
      <c r="G73" t="s">
        <v>473</v>
      </c>
      <c r="H73" t="s">
        <v>354</v>
      </c>
      <c r="I73" t="s">
        <v>65</v>
      </c>
      <c r="J73" t="s">
        <v>69</v>
      </c>
      <c r="K73" t="s">
        <v>355</v>
      </c>
      <c r="M73" s="4" t="str">
        <f>IF(OR(F73="",F73="Nan"),"Missing",IF(PROPER(TRIM(messy_ecommerce_sales_data__27[[#This Row],[ Category]]))="Electronic","Electronics",PROPER(TRIM(messy_ecommerce_sales_data__27[[#This Row],[ Category]]))))</f>
        <v>Books</v>
      </c>
      <c r="N73" s="5">
        <v>45614</v>
      </c>
      <c r="O73" s="4">
        <f>IF(LEN(TRIM(messy_ecommerce_sales_data__27[[#This Row],[Quantity]])) = 0, "Missing",IFERROR(VALUE(messy_ecommerce_sales_data__27[[#This Row],[Quantity]]),"Invalid"))</f>
        <v>2</v>
      </c>
      <c r="P73" s="4">
        <f t="shared" si="3"/>
        <v>942.76</v>
      </c>
      <c r="Q73" s="4">
        <f>IF(LEN(TRIM(messy_ecommerce_sales_data__27[[#This Row],[Total]])) = 0, "Missing",IFERROR(VALUE(SUBSTITUTE(SUBSTITUTE(messy_ecommerce_sales_data__27[[#This Row],[Total]],"$",""), ".",",")),"Invalid"))</f>
        <v>1885.52</v>
      </c>
      <c r="R73" s="4">
        <f t="shared" si="4"/>
        <v>1885.52</v>
      </c>
      <c r="S73" s="4" t="str">
        <f t="shared" si="5"/>
        <v>OK</v>
      </c>
    </row>
    <row r="74" spans="1:19" x14ac:dyDescent="0.3">
      <c r="A74">
        <v>173</v>
      </c>
      <c r="B74" t="s">
        <v>356</v>
      </c>
      <c r="C74" t="s">
        <v>357</v>
      </c>
      <c r="D74" t="s">
        <v>487</v>
      </c>
      <c r="E74" t="s">
        <v>166</v>
      </c>
      <c r="F74" t="s">
        <v>27</v>
      </c>
      <c r="G74" t="s">
        <v>476</v>
      </c>
      <c r="H74" t="s">
        <v>358</v>
      </c>
      <c r="I74" t="s">
        <v>78</v>
      </c>
      <c r="J74" t="s">
        <v>29</v>
      </c>
      <c r="K74" t="s">
        <v>359</v>
      </c>
      <c r="M74" s="4" t="str">
        <f>IF(OR(F74="",F74="Nan"),"Missing",IF(PROPER(TRIM(messy_ecommerce_sales_data__27[[#This Row],[ Category]]))="Electronic","Electronics",PROPER(TRIM(messy_ecommerce_sales_data__27[[#This Row],[ Category]]))))</f>
        <v>Home</v>
      </c>
      <c r="N74" s="5">
        <v>45941</v>
      </c>
      <c r="O74" s="4">
        <f>IF(LEN(TRIM(messy_ecommerce_sales_data__27[[#This Row],[Quantity]])) = 0, "Missing",IFERROR(VALUE(messy_ecommerce_sales_data__27[[#This Row],[Quantity]]),"Invalid"))</f>
        <v>5</v>
      </c>
      <c r="P74" s="4">
        <f t="shared" si="3"/>
        <v>351.89</v>
      </c>
      <c r="Q74" s="4">
        <f>IF(LEN(TRIM(messy_ecommerce_sales_data__27[[#This Row],[Total]])) = 0, "Missing",IFERROR(VALUE(SUBSTITUTE(SUBSTITUTE(messy_ecommerce_sales_data__27[[#This Row],[Total]],"$",""), ".",",")),"Invalid"))</f>
        <v>1759.45</v>
      </c>
      <c r="R74" s="4">
        <f t="shared" si="4"/>
        <v>1759.4499999999998</v>
      </c>
      <c r="S74" s="4" t="str">
        <f t="shared" si="5"/>
        <v>OK</v>
      </c>
    </row>
    <row r="75" spans="1:19" x14ac:dyDescent="0.3">
      <c r="A75">
        <v>174</v>
      </c>
      <c r="B75" t="s">
        <v>360</v>
      </c>
      <c r="C75" t="s">
        <v>361</v>
      </c>
      <c r="D75" t="s">
        <v>362</v>
      </c>
      <c r="E75" t="s">
        <v>115</v>
      </c>
      <c r="F75" t="s">
        <v>133</v>
      </c>
      <c r="G75" t="s">
        <v>481</v>
      </c>
      <c r="H75" t="s">
        <v>363</v>
      </c>
      <c r="I75" t="s">
        <v>78</v>
      </c>
      <c r="J75" t="s">
        <v>69</v>
      </c>
      <c r="K75" t="s">
        <v>364</v>
      </c>
      <c r="M75" s="4" t="str">
        <f>IF(OR(F75="",F75="Nan"),"Missing",IF(PROPER(TRIM(messy_ecommerce_sales_data__27[[#This Row],[ Category]]))="Electronic","Electronics",PROPER(TRIM(messy_ecommerce_sales_data__27[[#This Row],[ Category]]))))</f>
        <v>Electronics</v>
      </c>
      <c r="N75" s="5">
        <v>45920</v>
      </c>
      <c r="O75" s="4">
        <f>IF(LEN(TRIM(messy_ecommerce_sales_data__27[[#This Row],[Quantity]])) = 0, "Missing",IFERROR(VALUE(messy_ecommerce_sales_data__27[[#This Row],[Quantity]]),"Invalid"))</f>
        <v>4</v>
      </c>
      <c r="P75" s="4">
        <f t="shared" si="3"/>
        <v>187.48</v>
      </c>
      <c r="Q75" s="4">
        <f>IF(LEN(TRIM(messy_ecommerce_sales_data__27[[#This Row],[Total]])) = 0, "Missing",IFERROR(VALUE(SUBSTITUTE(SUBSTITUTE(messy_ecommerce_sales_data__27[[#This Row],[Total]],"$",""), ".",",")),"Invalid"))</f>
        <v>749.92</v>
      </c>
      <c r="R75" s="4">
        <f t="shared" si="4"/>
        <v>749.92</v>
      </c>
      <c r="S75" s="4" t="str">
        <f t="shared" si="5"/>
        <v>OK</v>
      </c>
    </row>
    <row r="76" spans="1:19" x14ac:dyDescent="0.3">
      <c r="A76">
        <v>175</v>
      </c>
      <c r="B76" t="s">
        <v>365</v>
      </c>
      <c r="C76" t="s">
        <v>366</v>
      </c>
      <c r="D76" t="s">
        <v>367</v>
      </c>
      <c r="E76" t="s">
        <v>202</v>
      </c>
      <c r="F76" t="s">
        <v>33</v>
      </c>
      <c r="G76" t="s">
        <v>475</v>
      </c>
      <c r="H76" t="s">
        <v>368</v>
      </c>
      <c r="I76" t="s">
        <v>78</v>
      </c>
      <c r="J76" t="s">
        <v>36</v>
      </c>
      <c r="K76" t="s">
        <v>368</v>
      </c>
      <c r="M76" s="4" t="str">
        <f>IF(OR(F76="",F76="Nan"),"Missing",IF(PROPER(TRIM(messy_ecommerce_sales_data__27[[#This Row],[ Category]]))="Electronic","Electronics",PROPER(TRIM(messy_ecommerce_sales_data__27[[#This Row],[ Category]]))))</f>
        <v>Electronics</v>
      </c>
      <c r="N76" s="5">
        <v>45712</v>
      </c>
      <c r="O76" s="4">
        <f>IF(LEN(TRIM(messy_ecommerce_sales_data__27[[#This Row],[Quantity]])) = 0, "Missing",IFERROR(VALUE(messy_ecommerce_sales_data__27[[#This Row],[Quantity]]),"Invalid"))</f>
        <v>1</v>
      </c>
      <c r="P76" s="4">
        <f t="shared" si="3"/>
        <v>111.36</v>
      </c>
      <c r="Q76" s="4">
        <f>IF(LEN(TRIM(messy_ecommerce_sales_data__27[[#This Row],[Total]])) = 0, "Missing",IFERROR(VALUE(SUBSTITUTE(SUBSTITUTE(messy_ecommerce_sales_data__27[[#This Row],[Total]],"$",""), ".",",")),"Invalid"))</f>
        <v>111.36</v>
      </c>
      <c r="R76" s="4">
        <f t="shared" si="4"/>
        <v>111.36</v>
      </c>
      <c r="S76" s="4" t="str">
        <f t="shared" si="5"/>
        <v>OK</v>
      </c>
    </row>
    <row r="77" spans="1:19" x14ac:dyDescent="0.3">
      <c r="A77">
        <v>176</v>
      </c>
      <c r="B77" t="s">
        <v>369</v>
      </c>
      <c r="C77" t="s">
        <v>370</v>
      </c>
      <c r="D77" t="s">
        <v>371</v>
      </c>
      <c r="E77" t="s">
        <v>89</v>
      </c>
      <c r="F77" t="s">
        <v>48</v>
      </c>
      <c r="G77" t="s">
        <v>476</v>
      </c>
      <c r="H77" t="s">
        <v>372</v>
      </c>
      <c r="I77" t="s">
        <v>28</v>
      </c>
      <c r="J77" t="s">
        <v>29</v>
      </c>
      <c r="K77" t="s">
        <v>373</v>
      </c>
      <c r="M77" s="4" t="str">
        <f>IF(OR(F77="",F77="Nan"),"Missing",IF(PROPER(TRIM(messy_ecommerce_sales_data__27[[#This Row],[ Category]]))="Electronic","Electronics",PROPER(TRIM(messy_ecommerce_sales_data__27[[#This Row],[ Category]]))))</f>
        <v>Books</v>
      </c>
      <c r="N77" s="5">
        <v>45860</v>
      </c>
      <c r="O77" s="4">
        <f>IF(LEN(TRIM(messy_ecommerce_sales_data__27[[#This Row],[Quantity]])) = 0, "Missing",IFERROR(VALUE(messy_ecommerce_sales_data__27[[#This Row],[Quantity]]),"Invalid"))</f>
        <v>5</v>
      </c>
      <c r="P77" s="4">
        <f t="shared" si="3"/>
        <v>530.52</v>
      </c>
      <c r="Q77" s="4">
        <f>IF(LEN(TRIM(messy_ecommerce_sales_data__27[[#This Row],[Total]])) = 0, "Missing",IFERROR(VALUE(SUBSTITUTE(SUBSTITUTE(messy_ecommerce_sales_data__27[[#This Row],[Total]],"$",""), ".",",")),"Invalid"))</f>
        <v>2652.6</v>
      </c>
      <c r="R77" s="4">
        <f t="shared" si="4"/>
        <v>2652.6</v>
      </c>
      <c r="S77" s="4" t="str">
        <f t="shared" si="5"/>
        <v>OK</v>
      </c>
    </row>
    <row r="78" spans="1:19" x14ac:dyDescent="0.3">
      <c r="A78">
        <v>177</v>
      </c>
      <c r="B78" t="s">
        <v>374</v>
      </c>
      <c r="C78" t="s">
        <v>375</v>
      </c>
      <c r="D78" t="s">
        <v>301</v>
      </c>
      <c r="E78" t="s">
        <v>240</v>
      </c>
      <c r="F78" t="s">
        <v>33</v>
      </c>
      <c r="G78" t="s">
        <v>475</v>
      </c>
      <c r="H78" t="s">
        <v>376</v>
      </c>
      <c r="I78" t="s">
        <v>65</v>
      </c>
      <c r="J78" t="s">
        <v>69</v>
      </c>
      <c r="K78" t="s">
        <v>376</v>
      </c>
      <c r="M78" s="4" t="str">
        <f>IF(OR(F78="",F78="Nan"),"Missing",IF(PROPER(TRIM(messy_ecommerce_sales_data__27[[#This Row],[ Category]]))="Electronic","Electronics",PROPER(TRIM(messy_ecommerce_sales_data__27[[#This Row],[ Category]]))))</f>
        <v>Electronics</v>
      </c>
      <c r="N78" s="5">
        <v>45866</v>
      </c>
      <c r="O78" s="4">
        <f>IF(LEN(TRIM(messy_ecommerce_sales_data__27[[#This Row],[Quantity]])) = 0, "Missing",IFERROR(VALUE(messy_ecommerce_sales_data__27[[#This Row],[Quantity]]),"Invalid"))</f>
        <v>1</v>
      </c>
      <c r="P78" s="4">
        <f t="shared" si="3"/>
        <v>69.48</v>
      </c>
      <c r="Q78" s="4">
        <f>IF(LEN(TRIM(messy_ecommerce_sales_data__27[[#This Row],[Total]])) = 0, "Missing",IFERROR(VALUE(SUBSTITUTE(SUBSTITUTE(messy_ecommerce_sales_data__27[[#This Row],[Total]],"$",""), ".",",")),"Invalid"))</f>
        <v>69.48</v>
      </c>
      <c r="R78" s="4">
        <f t="shared" si="4"/>
        <v>69.48</v>
      </c>
      <c r="S78" s="4" t="str">
        <f t="shared" si="5"/>
        <v>OK</v>
      </c>
    </row>
    <row r="79" spans="1:19" x14ac:dyDescent="0.3">
      <c r="A79">
        <v>178</v>
      </c>
      <c r="B79" t="s">
        <v>377</v>
      </c>
      <c r="C79" t="s">
        <v>378</v>
      </c>
      <c r="D79" t="s">
        <v>379</v>
      </c>
      <c r="E79" t="s">
        <v>40</v>
      </c>
      <c r="F79" t="s">
        <v>41</v>
      </c>
      <c r="G79" t="s">
        <v>469</v>
      </c>
      <c r="H79" t="s">
        <v>380</v>
      </c>
      <c r="I79" t="s">
        <v>35</v>
      </c>
      <c r="J79" t="s">
        <v>69</v>
      </c>
      <c r="K79" t="s">
        <v>381</v>
      </c>
      <c r="M79" s="4" t="str">
        <f>IF(OR(F79="",F79="Nan"),"Missing",IF(PROPER(TRIM(messy_ecommerce_sales_data__27[[#This Row],[ Category]]))="Electronic","Electronics",PROPER(TRIM(messy_ecommerce_sales_data__27[[#This Row],[ Category]]))))</f>
        <v>Sports</v>
      </c>
      <c r="N79" s="5">
        <v>45918</v>
      </c>
      <c r="O79" s="4">
        <f>IF(LEN(TRIM(messy_ecommerce_sales_data__27[[#This Row],[Quantity]])) = 0, "Missing",IFERROR(VALUE(messy_ecommerce_sales_data__27[[#This Row],[Quantity]]),"Invalid"))</f>
        <v>3</v>
      </c>
      <c r="P79" s="4">
        <f t="shared" si="3"/>
        <v>472.14</v>
      </c>
      <c r="Q79" s="4">
        <f>IF(LEN(TRIM(messy_ecommerce_sales_data__27[[#This Row],[Total]])) = 0, "Missing",IFERROR(VALUE(SUBSTITUTE(SUBSTITUTE(messy_ecommerce_sales_data__27[[#This Row],[Total]],"$",""), ".",",")),"Invalid"))</f>
        <v>1416.42</v>
      </c>
      <c r="R79" s="4">
        <f t="shared" si="4"/>
        <v>1416.42</v>
      </c>
      <c r="S79" s="4" t="str">
        <f t="shared" si="5"/>
        <v>OK</v>
      </c>
    </row>
    <row r="80" spans="1:19" x14ac:dyDescent="0.3">
      <c r="A80">
        <v>179</v>
      </c>
      <c r="B80" t="s">
        <v>382</v>
      </c>
      <c r="C80" t="s">
        <v>383</v>
      </c>
      <c r="D80" t="s">
        <v>516</v>
      </c>
      <c r="E80" t="s">
        <v>132</v>
      </c>
      <c r="F80" t="s">
        <v>41</v>
      </c>
      <c r="G80" t="s">
        <v>469</v>
      </c>
      <c r="H80" t="s">
        <v>384</v>
      </c>
      <c r="I80" t="s">
        <v>35</v>
      </c>
      <c r="J80" t="s">
        <v>43</v>
      </c>
      <c r="K80" t="s">
        <v>385</v>
      </c>
      <c r="M80" s="4" t="str">
        <f>IF(OR(F80="",F80="Nan"),"Missing",IF(PROPER(TRIM(messy_ecommerce_sales_data__27[[#This Row],[ Category]]))="Electronic","Electronics",PROPER(TRIM(messy_ecommerce_sales_data__27[[#This Row],[ Category]]))))</f>
        <v>Sports</v>
      </c>
      <c r="N80" s="5">
        <v>45903</v>
      </c>
      <c r="O80" s="4">
        <f>IF(LEN(TRIM(messy_ecommerce_sales_data__27[[#This Row],[Quantity]])) = 0, "Missing",IFERROR(VALUE(messy_ecommerce_sales_data__27[[#This Row],[Quantity]]),"Invalid"))</f>
        <v>3</v>
      </c>
      <c r="P80" s="4">
        <f t="shared" si="3"/>
        <v>868.67</v>
      </c>
      <c r="Q80" s="4">
        <f>IF(LEN(TRIM(messy_ecommerce_sales_data__27[[#This Row],[Total]])) = 0, "Missing",IFERROR(VALUE(SUBSTITUTE(SUBSTITUTE(messy_ecommerce_sales_data__27[[#This Row],[Total]],"$",""), ".",",")),"Invalid"))</f>
        <v>2606.0100000000002</v>
      </c>
      <c r="R80" s="4">
        <f t="shared" si="4"/>
        <v>2606.0099999999998</v>
      </c>
      <c r="S80" s="4" t="str">
        <f t="shared" si="5"/>
        <v>OK</v>
      </c>
    </row>
    <row r="81" spans="1:19" x14ac:dyDescent="0.3">
      <c r="A81">
        <v>180</v>
      </c>
      <c r="B81" t="s">
        <v>386</v>
      </c>
      <c r="C81" t="s">
        <v>387</v>
      </c>
      <c r="D81" t="s">
        <v>388</v>
      </c>
      <c r="E81" t="s">
        <v>240</v>
      </c>
      <c r="F81" t="s">
        <v>474</v>
      </c>
      <c r="G81" t="s">
        <v>473</v>
      </c>
      <c r="H81" t="s">
        <v>389</v>
      </c>
      <c r="I81" t="s">
        <v>78</v>
      </c>
      <c r="J81" t="s">
        <v>36</v>
      </c>
      <c r="K81" t="s">
        <v>390</v>
      </c>
      <c r="M81" s="4" t="str">
        <f>IF(OR(F81="",F81="Nan"),"Missing",IF(PROPER(TRIM(messy_ecommerce_sales_data__27[[#This Row],[ Category]]))="Electronic","Electronics",PROPER(TRIM(messy_ecommerce_sales_data__27[[#This Row],[ Category]]))))</f>
        <v>Missing</v>
      </c>
      <c r="N81" s="5">
        <v>45742</v>
      </c>
      <c r="O81" s="4">
        <f>IF(LEN(TRIM(messy_ecommerce_sales_data__27[[#This Row],[Quantity]])) = 0, "Missing",IFERROR(VALUE(messy_ecommerce_sales_data__27[[#This Row],[Quantity]]),"Invalid"))</f>
        <v>2</v>
      </c>
      <c r="P81" s="4">
        <f t="shared" si="3"/>
        <v>418.38</v>
      </c>
      <c r="Q81" s="4">
        <f>IF(LEN(TRIM(messy_ecommerce_sales_data__27[[#This Row],[Total]])) = 0, "Missing",IFERROR(VALUE(SUBSTITUTE(SUBSTITUTE(messy_ecommerce_sales_data__27[[#This Row],[Total]],"$",""), ".",",")),"Invalid"))</f>
        <v>836.76</v>
      </c>
      <c r="R81" s="4">
        <f t="shared" si="4"/>
        <v>836.76</v>
      </c>
      <c r="S81" s="4" t="str">
        <f t="shared" si="5"/>
        <v>OK</v>
      </c>
    </row>
    <row r="82" spans="1:19" x14ac:dyDescent="0.3">
      <c r="A82">
        <v>181</v>
      </c>
      <c r="B82" t="s">
        <v>391</v>
      </c>
      <c r="C82" t="s">
        <v>392</v>
      </c>
      <c r="D82" t="s">
        <v>393</v>
      </c>
      <c r="E82" t="s">
        <v>32</v>
      </c>
      <c r="F82" t="s">
        <v>187</v>
      </c>
      <c r="G82" t="s">
        <v>475</v>
      </c>
      <c r="H82" t="s">
        <v>394</v>
      </c>
      <c r="I82" t="s">
        <v>28</v>
      </c>
      <c r="J82" t="s">
        <v>60</v>
      </c>
      <c r="K82" t="s">
        <v>394</v>
      </c>
      <c r="M82" s="4" t="str">
        <f>IF(OR(F82="",F82="Nan"),"Missing",IF(PROPER(TRIM(messy_ecommerce_sales_data__27[[#This Row],[ Category]]))="Electronic","Electronics",PROPER(TRIM(messy_ecommerce_sales_data__27[[#This Row],[ Category]]))))</f>
        <v>Missing</v>
      </c>
      <c r="N82" s="5">
        <v>45655</v>
      </c>
      <c r="O82" s="4">
        <f>IF(LEN(TRIM(messy_ecommerce_sales_data__27[[#This Row],[Quantity]])) = 0, "Missing",IFERROR(VALUE(messy_ecommerce_sales_data__27[[#This Row],[Quantity]]),"Invalid"))</f>
        <v>1</v>
      </c>
      <c r="P82" s="4">
        <f t="shared" si="3"/>
        <v>266.48</v>
      </c>
      <c r="Q82" s="4">
        <f>IF(LEN(TRIM(messy_ecommerce_sales_data__27[[#This Row],[Total]])) = 0, "Missing",IFERROR(VALUE(SUBSTITUTE(SUBSTITUTE(messy_ecommerce_sales_data__27[[#This Row],[Total]],"$",""), ".",",")),"Invalid"))</f>
        <v>266.48</v>
      </c>
      <c r="R82" s="4">
        <f t="shared" si="4"/>
        <v>266.48</v>
      </c>
      <c r="S82" s="4" t="str">
        <f t="shared" si="5"/>
        <v>OK</v>
      </c>
    </row>
    <row r="83" spans="1:19" x14ac:dyDescent="0.3">
      <c r="A83">
        <v>182</v>
      </c>
      <c r="B83" t="s">
        <v>395</v>
      </c>
      <c r="C83" t="s">
        <v>396</v>
      </c>
      <c r="D83" t="s">
        <v>517</v>
      </c>
      <c r="E83" t="s">
        <v>94</v>
      </c>
      <c r="F83" t="s">
        <v>474</v>
      </c>
      <c r="G83" t="s">
        <v>481</v>
      </c>
      <c r="H83" t="s">
        <v>397</v>
      </c>
      <c r="I83" t="s">
        <v>35</v>
      </c>
      <c r="J83" t="s">
        <v>36</v>
      </c>
      <c r="K83" t="s">
        <v>398</v>
      </c>
      <c r="M83" s="4" t="str">
        <f>IF(OR(F83="",F83="Nan"),"Missing",IF(PROPER(TRIM(messy_ecommerce_sales_data__27[[#This Row],[ Category]]))="Electronic","Electronics",PROPER(TRIM(messy_ecommerce_sales_data__27[[#This Row],[ Category]]))))</f>
        <v>Missing</v>
      </c>
      <c r="N83" s="5">
        <v>45872</v>
      </c>
      <c r="O83" s="4">
        <f>IF(LEN(TRIM(messy_ecommerce_sales_data__27[[#This Row],[Quantity]])) = 0, "Missing",IFERROR(VALUE(messy_ecommerce_sales_data__27[[#This Row],[Quantity]]),"Invalid"))</f>
        <v>4</v>
      </c>
      <c r="P83" s="4">
        <f t="shared" si="3"/>
        <v>538.35</v>
      </c>
      <c r="Q83" s="4">
        <f>IF(LEN(TRIM(messy_ecommerce_sales_data__27[[#This Row],[Total]])) = 0, "Missing",IFERROR(VALUE(SUBSTITUTE(SUBSTITUTE(messy_ecommerce_sales_data__27[[#This Row],[Total]],"$",""), ".",",")),"Invalid"))</f>
        <v>2153.4</v>
      </c>
      <c r="R83" s="4">
        <f t="shared" si="4"/>
        <v>2153.4</v>
      </c>
      <c r="S83" s="4" t="str">
        <f t="shared" si="5"/>
        <v>OK</v>
      </c>
    </row>
    <row r="84" spans="1:19" x14ac:dyDescent="0.3">
      <c r="A84">
        <v>183</v>
      </c>
      <c r="B84" t="s">
        <v>399</v>
      </c>
      <c r="C84" t="s">
        <v>400</v>
      </c>
      <c r="D84" t="s">
        <v>518</v>
      </c>
      <c r="E84" t="s">
        <v>94</v>
      </c>
      <c r="F84" t="s">
        <v>95</v>
      </c>
      <c r="G84" t="s">
        <v>476</v>
      </c>
      <c r="H84" t="s">
        <v>474</v>
      </c>
      <c r="I84" t="s">
        <v>28</v>
      </c>
      <c r="J84" t="s">
        <v>69</v>
      </c>
      <c r="K84" t="s">
        <v>474</v>
      </c>
      <c r="M84" s="4" t="str">
        <f>IF(OR(F84="",F84="Nan"),"Missing",IF(PROPER(TRIM(messy_ecommerce_sales_data__27[[#This Row],[ Category]]))="Electronic","Electronics",PROPER(TRIM(messy_ecommerce_sales_data__27[[#This Row],[ Category]]))))</f>
        <v>Clothing</v>
      </c>
      <c r="N84" s="5">
        <v>45726</v>
      </c>
      <c r="O84" s="4">
        <f>IF(LEN(TRIM(messy_ecommerce_sales_data__27[[#This Row],[Quantity]])) = 0, "Missing",IFERROR(VALUE(messy_ecommerce_sales_data__27[[#This Row],[Quantity]]),"Invalid"))</f>
        <v>5</v>
      </c>
      <c r="P84" s="4" t="str">
        <f t="shared" si="3"/>
        <v>Invalid</v>
      </c>
      <c r="Q84" s="4" t="str">
        <f>IF(LEN(TRIM(messy_ecommerce_sales_data__27[[#This Row],[Total]])) = 0, "Missing",IFERROR(VALUE(SUBSTITUTE(SUBSTITUTE(messy_ecommerce_sales_data__27[[#This Row],[Total]],"$",""), ".",",")),"Invalid"))</f>
        <v>Missing</v>
      </c>
      <c r="R84" s="4" t="str">
        <f t="shared" si="4"/>
        <v>Cannot Calculate</v>
      </c>
      <c r="S84" s="4" t="str">
        <f t="shared" si="5"/>
        <v>No Data</v>
      </c>
    </row>
    <row r="85" spans="1:19" x14ac:dyDescent="0.3">
      <c r="A85">
        <v>184</v>
      </c>
      <c r="B85" t="s">
        <v>401</v>
      </c>
      <c r="C85" t="s">
        <v>402</v>
      </c>
      <c r="D85" t="s">
        <v>403</v>
      </c>
      <c r="E85" t="s">
        <v>291</v>
      </c>
      <c r="F85" t="s">
        <v>474</v>
      </c>
      <c r="G85" t="s">
        <v>481</v>
      </c>
      <c r="H85" t="s">
        <v>404</v>
      </c>
      <c r="I85" t="s">
        <v>65</v>
      </c>
      <c r="J85" t="s">
        <v>36</v>
      </c>
      <c r="K85" t="s">
        <v>405</v>
      </c>
      <c r="M85" s="4" t="str">
        <f>IF(OR(F85="",F85="Nan"),"Missing",IF(PROPER(TRIM(messy_ecommerce_sales_data__27[[#This Row],[ Category]]))="Electronic","Electronics",PROPER(TRIM(messy_ecommerce_sales_data__27[[#This Row],[ Category]]))))</f>
        <v>Missing</v>
      </c>
      <c r="N85" s="5">
        <v>45703</v>
      </c>
      <c r="O85" s="4">
        <f>IF(LEN(TRIM(messy_ecommerce_sales_data__27[[#This Row],[Quantity]])) = 0, "Missing",IFERROR(VALUE(messy_ecommerce_sales_data__27[[#This Row],[Quantity]]),"Invalid"))</f>
        <v>4</v>
      </c>
      <c r="P85" s="4">
        <f t="shared" si="3"/>
        <v>101.19</v>
      </c>
      <c r="Q85" s="4">
        <f>IF(LEN(TRIM(messy_ecommerce_sales_data__27[[#This Row],[Total]])) = 0, "Missing",IFERROR(VALUE(SUBSTITUTE(SUBSTITUTE(messy_ecommerce_sales_data__27[[#This Row],[Total]],"$",""), ".",",")),"Invalid"))</f>
        <v>404.76</v>
      </c>
      <c r="R85" s="4">
        <f t="shared" si="4"/>
        <v>404.76</v>
      </c>
      <c r="S85" s="4" t="str">
        <f t="shared" si="5"/>
        <v>OK</v>
      </c>
    </row>
    <row r="86" spans="1:19" x14ac:dyDescent="0.3">
      <c r="A86">
        <v>185</v>
      </c>
      <c r="B86" t="s">
        <v>406</v>
      </c>
      <c r="C86" t="s">
        <v>407</v>
      </c>
      <c r="D86" t="s">
        <v>408</v>
      </c>
      <c r="E86" t="s">
        <v>235</v>
      </c>
      <c r="F86" t="s">
        <v>41</v>
      </c>
      <c r="G86" t="s">
        <v>473</v>
      </c>
      <c r="H86" t="s">
        <v>409</v>
      </c>
      <c r="I86" t="s">
        <v>28</v>
      </c>
      <c r="J86" t="s">
        <v>60</v>
      </c>
      <c r="K86" t="s">
        <v>410</v>
      </c>
      <c r="M86" s="4" t="str">
        <f>IF(OR(F86="",F86="Nan"),"Missing",IF(PROPER(TRIM(messy_ecommerce_sales_data__27[[#This Row],[ Category]]))="Electronic","Electronics",PROPER(TRIM(messy_ecommerce_sales_data__27[[#This Row],[ Category]]))))</f>
        <v>Sports</v>
      </c>
      <c r="N86" s="5">
        <v>45883</v>
      </c>
      <c r="O86" s="4">
        <f>IF(LEN(TRIM(messy_ecommerce_sales_data__27[[#This Row],[Quantity]])) = 0, "Missing",IFERROR(VALUE(messy_ecommerce_sales_data__27[[#This Row],[Quantity]]),"Invalid"))</f>
        <v>2</v>
      </c>
      <c r="P86" s="4">
        <f t="shared" si="3"/>
        <v>730.92</v>
      </c>
      <c r="Q86" s="4">
        <f>IF(LEN(TRIM(messy_ecommerce_sales_data__27[[#This Row],[Total]])) = 0, "Missing",IFERROR(VALUE(SUBSTITUTE(SUBSTITUTE(messy_ecommerce_sales_data__27[[#This Row],[Total]],"$",""), ".",",")),"Invalid"))</f>
        <v>1023.288</v>
      </c>
      <c r="R86" s="4">
        <f t="shared" si="4"/>
        <v>1461.84</v>
      </c>
      <c r="S86" s="4" t="str">
        <f t="shared" si="5"/>
        <v>Mismatch</v>
      </c>
    </row>
    <row r="87" spans="1:19" x14ac:dyDescent="0.3">
      <c r="A87">
        <v>186</v>
      </c>
      <c r="B87" t="s">
        <v>411</v>
      </c>
      <c r="C87" t="s">
        <v>412</v>
      </c>
      <c r="D87" t="s">
        <v>488</v>
      </c>
      <c r="E87" t="s">
        <v>240</v>
      </c>
      <c r="F87" t="s">
        <v>33</v>
      </c>
      <c r="G87" t="s">
        <v>475</v>
      </c>
      <c r="H87" t="s">
        <v>413</v>
      </c>
      <c r="I87" t="s">
        <v>65</v>
      </c>
      <c r="J87" t="s">
        <v>43</v>
      </c>
      <c r="K87" t="s">
        <v>413</v>
      </c>
      <c r="M87" s="4" t="str">
        <f>IF(OR(F87="",F87="Nan"),"Missing",IF(PROPER(TRIM(messy_ecommerce_sales_data__27[[#This Row],[ Category]]))="Electronic","Electronics",PROPER(TRIM(messy_ecommerce_sales_data__27[[#This Row],[ Category]]))))</f>
        <v>Electronics</v>
      </c>
      <c r="N87" s="5">
        <v>45936</v>
      </c>
      <c r="O87" s="4">
        <f>IF(LEN(TRIM(messy_ecommerce_sales_data__27[[#This Row],[Quantity]])) = 0, "Missing",IFERROR(VALUE(messy_ecommerce_sales_data__27[[#This Row],[Quantity]]),"Invalid"))</f>
        <v>1</v>
      </c>
      <c r="P87" s="4">
        <f t="shared" si="3"/>
        <v>365.34</v>
      </c>
      <c r="Q87" s="4">
        <f>IF(LEN(TRIM(messy_ecommerce_sales_data__27[[#This Row],[Total]])) = 0, "Missing",IFERROR(VALUE(SUBSTITUTE(SUBSTITUTE(messy_ecommerce_sales_data__27[[#This Row],[Total]],"$",""), ".",",")),"Invalid"))</f>
        <v>365.34</v>
      </c>
      <c r="R87" s="4">
        <f t="shared" si="4"/>
        <v>365.34</v>
      </c>
      <c r="S87" s="4" t="str">
        <f t="shared" si="5"/>
        <v>OK</v>
      </c>
    </row>
    <row r="88" spans="1:19" x14ac:dyDescent="0.3">
      <c r="A88">
        <v>187</v>
      </c>
      <c r="B88" t="s">
        <v>414</v>
      </c>
      <c r="C88" t="s">
        <v>415</v>
      </c>
      <c r="D88" t="s">
        <v>416</v>
      </c>
      <c r="E88" t="s">
        <v>32</v>
      </c>
      <c r="F88" t="s">
        <v>33</v>
      </c>
      <c r="G88" t="s">
        <v>469</v>
      </c>
      <c r="H88" t="s">
        <v>417</v>
      </c>
      <c r="I88" t="s">
        <v>65</v>
      </c>
      <c r="J88" t="s">
        <v>69</v>
      </c>
      <c r="K88" t="s">
        <v>418</v>
      </c>
      <c r="M88" s="4" t="str">
        <f>IF(OR(F88="",F88="Nan"),"Missing",IF(PROPER(TRIM(messy_ecommerce_sales_data__27[[#This Row],[ Category]]))="Electronic","Electronics",PROPER(TRIM(messy_ecommerce_sales_data__27[[#This Row],[ Category]]))))</f>
        <v>Electronics</v>
      </c>
      <c r="N88" s="5">
        <v>45615</v>
      </c>
      <c r="O88" s="4">
        <f>IF(LEN(TRIM(messy_ecommerce_sales_data__27[[#This Row],[Quantity]])) = 0, "Missing",IFERROR(VALUE(messy_ecommerce_sales_data__27[[#This Row],[Quantity]]),"Invalid"))</f>
        <v>3</v>
      </c>
      <c r="P88" s="4">
        <f t="shared" si="3"/>
        <v>882.96</v>
      </c>
      <c r="Q88" s="4">
        <f>IF(LEN(TRIM(messy_ecommerce_sales_data__27[[#This Row],[Total]])) = 0, "Missing",IFERROR(VALUE(SUBSTITUTE(SUBSTITUTE(messy_ecommerce_sales_data__27[[#This Row],[Total]],"$",""), ".",",")),"Invalid"))</f>
        <v>2648.88</v>
      </c>
      <c r="R88" s="4">
        <f t="shared" si="4"/>
        <v>2648.88</v>
      </c>
      <c r="S88" s="4" t="str">
        <f t="shared" si="5"/>
        <v>OK</v>
      </c>
    </row>
    <row r="89" spans="1:19" x14ac:dyDescent="0.3">
      <c r="A89">
        <v>188</v>
      </c>
      <c r="B89" t="s">
        <v>419</v>
      </c>
      <c r="C89" t="s">
        <v>420</v>
      </c>
      <c r="D89" t="s">
        <v>416</v>
      </c>
      <c r="E89" t="s">
        <v>115</v>
      </c>
      <c r="F89" t="s">
        <v>27</v>
      </c>
      <c r="G89" t="s">
        <v>476</v>
      </c>
      <c r="H89" t="s">
        <v>421</v>
      </c>
      <c r="I89" t="s">
        <v>28</v>
      </c>
      <c r="J89" t="s">
        <v>29</v>
      </c>
      <c r="K89" t="s">
        <v>422</v>
      </c>
      <c r="M89" s="4" t="str">
        <f>IF(OR(F89="",F89="Nan"),"Missing",IF(PROPER(TRIM(messy_ecommerce_sales_data__27[[#This Row],[ Category]]))="Electronic","Electronics",PROPER(TRIM(messy_ecommerce_sales_data__27[[#This Row],[ Category]]))))</f>
        <v>Home</v>
      </c>
      <c r="N89" s="5">
        <v>45615</v>
      </c>
      <c r="O89" s="4">
        <f>IF(LEN(TRIM(messy_ecommerce_sales_data__27[[#This Row],[Quantity]])) = 0, "Missing",IFERROR(VALUE(messy_ecommerce_sales_data__27[[#This Row],[Quantity]]),"Invalid"))</f>
        <v>5</v>
      </c>
      <c r="P89" s="4">
        <f t="shared" si="3"/>
        <v>504.05</v>
      </c>
      <c r="Q89" s="4">
        <f>IF(LEN(TRIM(messy_ecommerce_sales_data__27[[#This Row],[Total]])) = 0, "Missing",IFERROR(VALUE(SUBSTITUTE(SUBSTITUTE(messy_ecommerce_sales_data__27[[#This Row],[Total]],"$",""), ".",",")),"Invalid"))</f>
        <v>2520.25</v>
      </c>
      <c r="R89" s="4">
        <f t="shared" si="4"/>
        <v>2520.25</v>
      </c>
      <c r="S89" s="4" t="str">
        <f t="shared" si="5"/>
        <v>OK</v>
      </c>
    </row>
    <row r="90" spans="1:19" x14ac:dyDescent="0.3">
      <c r="A90">
        <v>189</v>
      </c>
      <c r="B90" t="s">
        <v>423</v>
      </c>
      <c r="C90" t="s">
        <v>424</v>
      </c>
      <c r="D90" t="s">
        <v>408</v>
      </c>
      <c r="E90" t="s">
        <v>166</v>
      </c>
      <c r="F90" t="s">
        <v>27</v>
      </c>
      <c r="G90" t="s">
        <v>475</v>
      </c>
      <c r="H90" t="s">
        <v>425</v>
      </c>
      <c r="I90" t="s">
        <v>28</v>
      </c>
      <c r="J90" t="s">
        <v>69</v>
      </c>
      <c r="K90" t="s">
        <v>425</v>
      </c>
      <c r="M90" s="4" t="str">
        <f>IF(OR(F90="",F90="Nan"),"Missing",IF(PROPER(TRIM(messy_ecommerce_sales_data__27[[#This Row],[ Category]]))="Electronic","Electronics",PROPER(TRIM(messy_ecommerce_sales_data__27[[#This Row],[ Category]]))))</f>
        <v>Home</v>
      </c>
      <c r="N90" s="5">
        <v>45883</v>
      </c>
      <c r="O90" s="4">
        <f>IF(LEN(TRIM(messy_ecommerce_sales_data__27[[#This Row],[Quantity]])) = 0, "Missing",IFERROR(VALUE(messy_ecommerce_sales_data__27[[#This Row],[Quantity]]),"Invalid"))</f>
        <v>1</v>
      </c>
      <c r="P90" s="4">
        <f t="shared" si="3"/>
        <v>814.68</v>
      </c>
      <c r="Q90" s="4">
        <f>IF(LEN(TRIM(messy_ecommerce_sales_data__27[[#This Row],[Total]])) = 0, "Missing",IFERROR(VALUE(SUBSTITUTE(SUBSTITUTE(messy_ecommerce_sales_data__27[[#This Row],[Total]],"$",""), ".",",")),"Invalid"))</f>
        <v>814.68</v>
      </c>
      <c r="R90" s="4">
        <f t="shared" si="4"/>
        <v>814.68</v>
      </c>
      <c r="S90" s="4" t="str">
        <f t="shared" si="5"/>
        <v>OK</v>
      </c>
    </row>
    <row r="91" spans="1:19" x14ac:dyDescent="0.3">
      <c r="A91">
        <v>190</v>
      </c>
      <c r="B91" t="s">
        <v>426</v>
      </c>
      <c r="C91" t="s">
        <v>427</v>
      </c>
      <c r="D91" t="s">
        <v>258</v>
      </c>
      <c r="E91" t="s">
        <v>146</v>
      </c>
      <c r="F91" t="s">
        <v>27</v>
      </c>
      <c r="G91" t="s">
        <v>475</v>
      </c>
      <c r="H91" t="s">
        <v>428</v>
      </c>
      <c r="I91" t="s">
        <v>65</v>
      </c>
      <c r="J91" t="s">
        <v>36</v>
      </c>
      <c r="K91" t="s">
        <v>428</v>
      </c>
      <c r="M91" s="4" t="str">
        <f>IF(OR(F91="",F91="Nan"),"Missing",IF(PROPER(TRIM(messy_ecommerce_sales_data__27[[#This Row],[ Category]]))="Electronic","Electronics",PROPER(TRIM(messy_ecommerce_sales_data__27[[#This Row],[ Category]]))))</f>
        <v>Home</v>
      </c>
      <c r="N91" s="5">
        <v>45837</v>
      </c>
      <c r="O91" s="4">
        <f>IF(LEN(TRIM(messy_ecommerce_sales_data__27[[#This Row],[Quantity]])) = 0, "Missing",IFERROR(VALUE(messy_ecommerce_sales_data__27[[#This Row],[Quantity]]),"Invalid"))</f>
        <v>1</v>
      </c>
      <c r="P91" s="4">
        <f t="shared" si="3"/>
        <v>920.37</v>
      </c>
      <c r="Q91" s="4">
        <f>IF(LEN(TRIM(messy_ecommerce_sales_data__27[[#This Row],[Total]])) = 0, "Missing",IFERROR(VALUE(SUBSTITUTE(SUBSTITUTE(messy_ecommerce_sales_data__27[[#This Row],[Total]],"$",""), ".",",")),"Invalid"))</f>
        <v>920.37</v>
      </c>
      <c r="R91" s="4">
        <f t="shared" si="4"/>
        <v>920.37</v>
      </c>
      <c r="S91" s="4" t="str">
        <f t="shared" si="5"/>
        <v>OK</v>
      </c>
    </row>
    <row r="92" spans="1:19" x14ac:dyDescent="0.3">
      <c r="A92">
        <v>191</v>
      </c>
      <c r="B92" t="s">
        <v>429</v>
      </c>
      <c r="C92" t="s">
        <v>430</v>
      </c>
      <c r="D92" t="s">
        <v>431</v>
      </c>
      <c r="E92" t="s">
        <v>101</v>
      </c>
      <c r="F92" t="s">
        <v>48</v>
      </c>
      <c r="G92" t="s">
        <v>473</v>
      </c>
      <c r="H92" t="s">
        <v>432</v>
      </c>
      <c r="I92" t="s">
        <v>28</v>
      </c>
      <c r="J92" t="s">
        <v>69</v>
      </c>
      <c r="K92" t="s">
        <v>433</v>
      </c>
      <c r="M92" s="4" t="str">
        <f>IF(OR(F92="",F92="Nan"),"Missing",IF(PROPER(TRIM(messy_ecommerce_sales_data__27[[#This Row],[ Category]]))="Electronic","Electronics",PROPER(TRIM(messy_ecommerce_sales_data__27[[#This Row],[ Category]]))))</f>
        <v>Books</v>
      </c>
      <c r="N92" s="5">
        <v>45856</v>
      </c>
      <c r="O92" s="4">
        <f>IF(LEN(TRIM(messy_ecommerce_sales_data__27[[#This Row],[Quantity]])) = 0, "Missing",IFERROR(VALUE(messy_ecommerce_sales_data__27[[#This Row],[Quantity]]),"Invalid"))</f>
        <v>2</v>
      </c>
      <c r="P92" s="4">
        <f t="shared" si="3"/>
        <v>881.02</v>
      </c>
      <c r="Q92" s="4">
        <f>IF(LEN(TRIM(messy_ecommerce_sales_data__27[[#This Row],[Total]])) = 0, "Missing",IFERROR(VALUE(SUBSTITUTE(SUBSTITUTE(messy_ecommerce_sales_data__27[[#This Row],[Total]],"$",""), ".",",")),"Invalid"))</f>
        <v>1762.04</v>
      </c>
      <c r="R92" s="4">
        <f t="shared" si="4"/>
        <v>1762.04</v>
      </c>
      <c r="S92" s="4" t="str">
        <f t="shared" si="5"/>
        <v>OK</v>
      </c>
    </row>
    <row r="93" spans="1:19" x14ac:dyDescent="0.3">
      <c r="A93">
        <v>192</v>
      </c>
      <c r="B93" t="s">
        <v>434</v>
      </c>
      <c r="C93" t="s">
        <v>435</v>
      </c>
      <c r="D93" t="s">
        <v>436</v>
      </c>
      <c r="E93" t="s">
        <v>249</v>
      </c>
      <c r="F93" t="s">
        <v>95</v>
      </c>
      <c r="G93" t="s">
        <v>437</v>
      </c>
      <c r="H93" t="s">
        <v>438</v>
      </c>
      <c r="I93" t="s">
        <v>78</v>
      </c>
      <c r="J93" t="s">
        <v>69</v>
      </c>
      <c r="K93" t="s">
        <v>474</v>
      </c>
      <c r="M93" s="4" t="str">
        <f>IF(OR(F93="",F93="Nan"),"Missing",IF(PROPER(TRIM(messy_ecommerce_sales_data__27[[#This Row],[ Category]]))="Electronic","Electronics",PROPER(TRIM(messy_ecommerce_sales_data__27[[#This Row],[ Category]]))))</f>
        <v>Clothing</v>
      </c>
      <c r="N93" s="5" t="s">
        <v>523</v>
      </c>
      <c r="O93" s="4" t="str">
        <f>IF(LEN(TRIM(messy_ecommerce_sales_data__27[[#This Row],[Quantity]])) = 0, "Missing",IFERROR(VALUE(messy_ecommerce_sales_data__27[[#This Row],[Quantity]]),"Invalid"))</f>
        <v>Invalid</v>
      </c>
      <c r="P93" s="4">
        <f t="shared" si="3"/>
        <v>203.63</v>
      </c>
      <c r="Q93" s="4" t="str">
        <f>IF(LEN(TRIM(messy_ecommerce_sales_data__27[[#This Row],[Total]])) = 0, "Missing",IFERROR(VALUE(SUBSTITUTE(SUBSTITUTE(messy_ecommerce_sales_data__27[[#This Row],[Total]],"$",""), ".",",")),"Invalid"))</f>
        <v>Missing</v>
      </c>
      <c r="R93" s="4" t="str">
        <f t="shared" si="4"/>
        <v>Cannot Calculate</v>
      </c>
      <c r="S93" s="4" t="str">
        <f t="shared" si="5"/>
        <v>No Data</v>
      </c>
    </row>
    <row r="94" spans="1:19" x14ac:dyDescent="0.3">
      <c r="A94">
        <v>193</v>
      </c>
      <c r="B94" t="s">
        <v>439</v>
      </c>
      <c r="C94" t="s">
        <v>440</v>
      </c>
      <c r="D94" t="s">
        <v>519</v>
      </c>
      <c r="E94" t="s">
        <v>83</v>
      </c>
      <c r="F94" t="s">
        <v>474</v>
      </c>
      <c r="G94" t="s">
        <v>474</v>
      </c>
      <c r="H94" t="s">
        <v>441</v>
      </c>
      <c r="I94" t="s">
        <v>35</v>
      </c>
      <c r="J94" t="s">
        <v>29</v>
      </c>
      <c r="K94" t="s">
        <v>474</v>
      </c>
      <c r="M94" s="4" t="str">
        <f>IF(OR(F94="",F94="Nan"),"Missing",IF(PROPER(TRIM(messy_ecommerce_sales_data__27[[#This Row],[ Category]]))="Electronic","Electronics",PROPER(TRIM(messy_ecommerce_sales_data__27[[#This Row],[ Category]]))))</f>
        <v>Missing</v>
      </c>
      <c r="N94" s="5">
        <v>45814</v>
      </c>
      <c r="O94" s="4" t="str">
        <f>IF(LEN(TRIM(messy_ecommerce_sales_data__27[[#This Row],[Quantity]])) = 0, "Missing",IFERROR(VALUE(messy_ecommerce_sales_data__27[[#This Row],[Quantity]]),"Invalid"))</f>
        <v>Missing</v>
      </c>
      <c r="P94" s="4">
        <f t="shared" si="3"/>
        <v>522.02</v>
      </c>
      <c r="Q94" s="4" t="str">
        <f>IF(LEN(TRIM(messy_ecommerce_sales_data__27[[#This Row],[Total]])) = 0, "Missing",IFERROR(VALUE(SUBSTITUTE(SUBSTITUTE(messy_ecommerce_sales_data__27[[#This Row],[Total]],"$",""), ".",",")),"Invalid"))</f>
        <v>Missing</v>
      </c>
      <c r="R94" s="4" t="str">
        <f t="shared" si="4"/>
        <v>Cannot Calculate</v>
      </c>
      <c r="S94" s="4" t="str">
        <f t="shared" si="5"/>
        <v>No Data</v>
      </c>
    </row>
    <row r="95" spans="1:19" x14ac:dyDescent="0.3">
      <c r="A95">
        <v>194</v>
      </c>
      <c r="B95" t="s">
        <v>442</v>
      </c>
      <c r="C95" t="s">
        <v>443</v>
      </c>
      <c r="D95" t="s">
        <v>520</v>
      </c>
      <c r="E95" t="s">
        <v>166</v>
      </c>
      <c r="F95" t="s">
        <v>27</v>
      </c>
      <c r="G95" t="s">
        <v>476</v>
      </c>
      <c r="H95" t="s">
        <v>444</v>
      </c>
      <c r="I95" t="s">
        <v>28</v>
      </c>
      <c r="J95" t="s">
        <v>69</v>
      </c>
      <c r="K95" t="s">
        <v>445</v>
      </c>
      <c r="M95" s="4" t="str">
        <f>IF(OR(F95="",F95="Nan"),"Missing",IF(PROPER(TRIM(messy_ecommerce_sales_data__27[[#This Row],[ Category]]))="Electronic","Electronics",PROPER(TRIM(messy_ecommerce_sales_data__27[[#This Row],[ Category]]))))</f>
        <v>Home</v>
      </c>
      <c r="N95" s="5">
        <v>45698</v>
      </c>
      <c r="O95" s="4">
        <f>IF(LEN(TRIM(messy_ecommerce_sales_data__27[[#This Row],[Quantity]])) = 0, "Missing",IFERROR(VALUE(messy_ecommerce_sales_data__27[[#This Row],[Quantity]]),"Invalid"))</f>
        <v>5</v>
      </c>
      <c r="P95" s="4">
        <f t="shared" si="3"/>
        <v>944.54</v>
      </c>
      <c r="Q95" s="4">
        <f>IF(LEN(TRIM(messy_ecommerce_sales_data__27[[#This Row],[Total]])) = 0, "Missing",IFERROR(VALUE(SUBSTITUTE(SUBSTITUTE(messy_ecommerce_sales_data__27[[#This Row],[Total]],"$",""), ".",",")),"Invalid"))</f>
        <v>4722.7</v>
      </c>
      <c r="R95" s="4">
        <f t="shared" si="4"/>
        <v>4722.7</v>
      </c>
      <c r="S95" s="4" t="str">
        <f t="shared" si="5"/>
        <v>OK</v>
      </c>
    </row>
    <row r="96" spans="1:19" x14ac:dyDescent="0.3">
      <c r="A96">
        <v>195</v>
      </c>
      <c r="B96" t="s">
        <v>446</v>
      </c>
      <c r="C96" t="s">
        <v>447</v>
      </c>
      <c r="D96" t="s">
        <v>448</v>
      </c>
      <c r="E96" t="s">
        <v>54</v>
      </c>
      <c r="F96" t="s">
        <v>48</v>
      </c>
      <c r="G96" t="s">
        <v>476</v>
      </c>
      <c r="H96" t="s">
        <v>449</v>
      </c>
      <c r="I96" t="s">
        <v>28</v>
      </c>
      <c r="J96" t="s">
        <v>69</v>
      </c>
      <c r="K96" t="s">
        <v>450</v>
      </c>
      <c r="M96" s="4" t="str">
        <f>IF(OR(F96="",F96="Nan"),"Missing",IF(PROPER(TRIM(messy_ecommerce_sales_data__27[[#This Row],[ Category]]))="Electronic","Electronics",PROPER(TRIM(messy_ecommerce_sales_data__27[[#This Row],[ Category]]))))</f>
        <v>Books</v>
      </c>
      <c r="N96" s="5">
        <v>45827</v>
      </c>
      <c r="O96" s="4">
        <f>IF(LEN(TRIM(messy_ecommerce_sales_data__27[[#This Row],[Quantity]])) = 0, "Missing",IFERROR(VALUE(messy_ecommerce_sales_data__27[[#This Row],[Quantity]]),"Invalid"))</f>
        <v>5</v>
      </c>
      <c r="P96" s="4">
        <f t="shared" si="3"/>
        <v>817.46</v>
      </c>
      <c r="Q96" s="4">
        <f>IF(LEN(TRIM(messy_ecommerce_sales_data__27[[#This Row],[Total]])) = 0, "Missing",IFERROR(VALUE(SUBSTITUTE(SUBSTITUTE(messy_ecommerce_sales_data__27[[#This Row],[Total]],"$",""), ".",",")),"Invalid"))</f>
        <v>4087.3</v>
      </c>
      <c r="R96" s="4">
        <f t="shared" si="4"/>
        <v>4087.3</v>
      </c>
      <c r="S96" s="4" t="str">
        <f t="shared" si="5"/>
        <v>OK</v>
      </c>
    </row>
    <row r="97" spans="1:19" x14ac:dyDescent="0.3">
      <c r="A97">
        <v>196</v>
      </c>
      <c r="B97" t="s">
        <v>451</v>
      </c>
      <c r="C97" t="s">
        <v>452</v>
      </c>
      <c r="D97" t="s">
        <v>39</v>
      </c>
      <c r="E97" t="s">
        <v>146</v>
      </c>
      <c r="F97" t="s">
        <v>27</v>
      </c>
      <c r="G97" t="s">
        <v>474</v>
      </c>
      <c r="H97" t="s">
        <v>34</v>
      </c>
      <c r="I97" t="s">
        <v>35</v>
      </c>
      <c r="J97" t="s">
        <v>43</v>
      </c>
      <c r="K97" t="s">
        <v>474</v>
      </c>
      <c r="M97" s="4" t="str">
        <f>IF(OR(F97="",F97="Nan"),"Missing",IF(PROPER(TRIM(messy_ecommerce_sales_data__27[[#This Row],[ Category]]))="Electronic","Electronics",PROPER(TRIM(messy_ecommerce_sales_data__27[[#This Row],[ Category]]))))</f>
        <v>Home</v>
      </c>
      <c r="N97" s="5">
        <v>45649</v>
      </c>
      <c r="O97" s="4" t="str">
        <f>IF(LEN(TRIM(messy_ecommerce_sales_data__27[[#This Row],[Quantity]])) = 0, "Missing",IFERROR(VALUE(messy_ecommerce_sales_data__27[[#This Row],[Quantity]]),"Invalid"))</f>
        <v>Missing</v>
      </c>
      <c r="P97" s="4" t="str">
        <f t="shared" si="3"/>
        <v>Invalid</v>
      </c>
      <c r="Q97" s="4" t="str">
        <f>IF(LEN(TRIM(messy_ecommerce_sales_data__27[[#This Row],[Total]])) = 0, "Missing",IFERROR(VALUE(SUBSTITUTE(SUBSTITUTE(messy_ecommerce_sales_data__27[[#This Row],[Total]],"$",""), ".",",")),"Invalid"))</f>
        <v>Missing</v>
      </c>
      <c r="R97" s="4" t="str">
        <f t="shared" si="4"/>
        <v>Cannot Calculate</v>
      </c>
      <c r="S97" s="4" t="str">
        <f t="shared" si="5"/>
        <v>No Data</v>
      </c>
    </row>
    <row r="98" spans="1:19" x14ac:dyDescent="0.3">
      <c r="A98">
        <v>197</v>
      </c>
      <c r="B98" t="s">
        <v>453</v>
      </c>
      <c r="C98" t="s">
        <v>454</v>
      </c>
      <c r="D98" t="s">
        <v>455</v>
      </c>
      <c r="E98" t="s">
        <v>26</v>
      </c>
      <c r="F98" t="s">
        <v>27</v>
      </c>
      <c r="G98" t="s">
        <v>475</v>
      </c>
      <c r="H98" t="s">
        <v>456</v>
      </c>
      <c r="I98" t="s">
        <v>35</v>
      </c>
      <c r="J98" t="s">
        <v>60</v>
      </c>
      <c r="K98" t="s">
        <v>456</v>
      </c>
      <c r="M98" s="4" t="str">
        <f>IF(OR(F98="",F98="Nan"),"Missing",IF(PROPER(TRIM(messy_ecommerce_sales_data__27[[#This Row],[ Category]]))="Electronic","Electronics",PROPER(TRIM(messy_ecommerce_sales_data__27[[#This Row],[ Category]]))))</f>
        <v>Home</v>
      </c>
      <c r="N98" s="5">
        <v>45831</v>
      </c>
      <c r="O98" s="4">
        <f>IF(LEN(TRIM(messy_ecommerce_sales_data__27[[#This Row],[Quantity]])) = 0, "Missing",IFERROR(VALUE(messy_ecommerce_sales_data__27[[#This Row],[Quantity]]),"Invalid"))</f>
        <v>1</v>
      </c>
      <c r="P98" s="4">
        <f t="shared" si="3"/>
        <v>160.16</v>
      </c>
      <c r="Q98" s="4">
        <f>IF(LEN(TRIM(messy_ecommerce_sales_data__27[[#This Row],[Total]])) = 0, "Missing",IFERROR(VALUE(SUBSTITUTE(SUBSTITUTE(messy_ecommerce_sales_data__27[[#This Row],[Total]],"$",""), ".",",")),"Invalid"))</f>
        <v>160.16</v>
      </c>
      <c r="R98" s="4">
        <f t="shared" si="4"/>
        <v>160.16</v>
      </c>
      <c r="S98" s="4" t="str">
        <f t="shared" si="5"/>
        <v>OK</v>
      </c>
    </row>
    <row r="99" spans="1:19" x14ac:dyDescent="0.3">
      <c r="A99">
        <v>198</v>
      </c>
      <c r="B99" t="s">
        <v>457</v>
      </c>
      <c r="C99" t="s">
        <v>458</v>
      </c>
      <c r="D99" t="s">
        <v>459</v>
      </c>
      <c r="E99" t="s">
        <v>146</v>
      </c>
      <c r="F99" t="s">
        <v>474</v>
      </c>
      <c r="G99" t="s">
        <v>473</v>
      </c>
      <c r="H99" t="s">
        <v>460</v>
      </c>
      <c r="I99" t="s">
        <v>28</v>
      </c>
      <c r="J99" t="s">
        <v>29</v>
      </c>
      <c r="K99" t="s">
        <v>461</v>
      </c>
      <c r="M99" s="4" t="str">
        <f>IF(OR(F99="",F99="Nan"),"Missing",IF(PROPER(TRIM(messy_ecommerce_sales_data__27[[#This Row],[ Category]]))="Electronic","Electronics",PROPER(TRIM(messy_ecommerce_sales_data__27[[#This Row],[ Category]]))))</f>
        <v>Missing</v>
      </c>
      <c r="N99" s="5">
        <v>45865</v>
      </c>
      <c r="O99" s="4">
        <f>IF(LEN(TRIM(messy_ecommerce_sales_data__27[[#This Row],[Quantity]])) = 0, "Missing",IFERROR(VALUE(messy_ecommerce_sales_data__27[[#This Row],[Quantity]]),"Invalid"))</f>
        <v>2</v>
      </c>
      <c r="P99" s="4">
        <f t="shared" si="3"/>
        <v>497.01</v>
      </c>
      <c r="Q99" s="4">
        <f>IF(LEN(TRIM(messy_ecommerce_sales_data__27[[#This Row],[Total]])) = 0, "Missing",IFERROR(VALUE(SUBSTITUTE(SUBSTITUTE(messy_ecommerce_sales_data__27[[#This Row],[Total]],"$",""), ".",",")),"Invalid"))</f>
        <v>994.02</v>
      </c>
      <c r="R99" s="4">
        <f t="shared" si="4"/>
        <v>994.02</v>
      </c>
      <c r="S99" s="4" t="str">
        <f t="shared" si="5"/>
        <v>OK</v>
      </c>
    </row>
    <row r="100" spans="1:19" x14ac:dyDescent="0.3">
      <c r="A100">
        <v>199</v>
      </c>
      <c r="B100" t="s">
        <v>462</v>
      </c>
      <c r="C100" t="s">
        <v>463</v>
      </c>
      <c r="D100" t="s">
        <v>464</v>
      </c>
      <c r="E100" t="s">
        <v>26</v>
      </c>
      <c r="F100" t="s">
        <v>27</v>
      </c>
      <c r="G100" t="s">
        <v>476</v>
      </c>
      <c r="H100" t="s">
        <v>465</v>
      </c>
      <c r="I100" t="s">
        <v>78</v>
      </c>
      <c r="J100" t="s">
        <v>29</v>
      </c>
      <c r="K100" t="s">
        <v>466</v>
      </c>
      <c r="M100" s="4" t="str">
        <f>IF(OR(F100="",F100="Nan"),"Missing",IF(PROPER(TRIM(messy_ecommerce_sales_data__27[[#This Row],[ Category]]))="Electronic","Electronics",PROPER(TRIM(messy_ecommerce_sales_data__27[[#This Row],[ Category]]))))</f>
        <v>Home</v>
      </c>
      <c r="N100" s="5">
        <v>45679</v>
      </c>
      <c r="O100" s="4">
        <f>IF(LEN(TRIM(messy_ecommerce_sales_data__27[[#This Row],[Quantity]])) = 0, "Missing",IFERROR(VALUE(messy_ecommerce_sales_data__27[[#This Row],[Quantity]]),"Invalid"))</f>
        <v>5</v>
      </c>
      <c r="P100" s="4">
        <f t="shared" si="3"/>
        <v>372.28</v>
      </c>
      <c r="Q100" s="4">
        <f>IF(LEN(TRIM(messy_ecommerce_sales_data__27[[#This Row],[Total]])) = 0, "Missing",IFERROR(VALUE(SUBSTITUTE(SUBSTITUTE(messy_ecommerce_sales_data__27[[#This Row],[Total]],"$",""), ".",",")),"Invalid"))</f>
        <v>1861.4</v>
      </c>
      <c r="R100" s="4">
        <f t="shared" si="4"/>
        <v>1861.3999999999999</v>
      </c>
      <c r="S100" s="4" t="str">
        <f t="shared" si="5"/>
        <v>OK</v>
      </c>
    </row>
    <row r="101" spans="1:19" x14ac:dyDescent="0.3">
      <c r="A101">
        <v>142</v>
      </c>
      <c r="B101" t="s">
        <v>224</v>
      </c>
      <c r="C101" t="s">
        <v>225</v>
      </c>
      <c r="D101" t="s">
        <v>114</v>
      </c>
      <c r="E101" t="s">
        <v>94</v>
      </c>
      <c r="F101" t="s">
        <v>95</v>
      </c>
      <c r="G101" t="s">
        <v>476</v>
      </c>
      <c r="H101" t="s">
        <v>226</v>
      </c>
      <c r="I101" t="s">
        <v>78</v>
      </c>
      <c r="J101" t="s">
        <v>29</v>
      </c>
      <c r="K101" t="s">
        <v>468</v>
      </c>
      <c r="M101" s="4" t="str">
        <f>IF(OR(F101="",F101="Nan"),"Missing",IF(PROPER(TRIM(messy_ecommerce_sales_data__27[[#This Row],[ Category]]))="Electronic","Electronics",PROPER(TRIM(messy_ecommerce_sales_data__27[[#This Row],[ Category]]))))</f>
        <v>Clothing</v>
      </c>
      <c r="N101" s="5">
        <v>45960</v>
      </c>
      <c r="O101" s="4">
        <f>IF(LEN(TRIM(messy_ecommerce_sales_data__27[[#This Row],[Quantity]])) = 0, "Missing",IFERROR(VALUE(messy_ecommerce_sales_data__27[[#This Row],[Quantity]]),"Invalid"))</f>
        <v>5</v>
      </c>
      <c r="P101" s="4">
        <f t="shared" si="3"/>
        <v>645.26</v>
      </c>
      <c r="Q101" s="4">
        <f>IF(LEN(TRIM(messy_ecommerce_sales_data__27[[#This Row],[Total]])) = 0, "Missing",IFERROR(VALUE(SUBSTITUTE(SUBSTITUTE(messy_ecommerce_sales_data__27[[#This Row],[Total]],"$",""), ".",",")),"Invalid"))</f>
        <v>3226.3</v>
      </c>
      <c r="R101" s="4">
        <f t="shared" si="4"/>
        <v>3226.3</v>
      </c>
      <c r="S101" s="4" t="str">
        <f t="shared" si="5"/>
        <v>OK</v>
      </c>
    </row>
    <row r="102" spans="1:19" x14ac:dyDescent="0.3">
      <c r="N102" s="2"/>
    </row>
    <row r="103" spans="1:19" x14ac:dyDescent="0.3">
      <c r="N103" s="2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F4775B-3B6E-4547-A33A-79652833AC1B}">
  <dimension ref="A1:M101"/>
  <sheetViews>
    <sheetView tabSelected="1" workbookViewId="0">
      <selection activeCell="E17" sqref="E17"/>
    </sheetView>
  </sheetViews>
  <sheetFormatPr defaultRowHeight="14.4" x14ac:dyDescent="0.3"/>
  <cols>
    <col min="1" max="1" width="5" bestFit="1" customWidth="1"/>
    <col min="2" max="2" width="17.21875" bestFit="1" customWidth="1"/>
    <col min="3" max="3" width="10.5546875" bestFit="1" customWidth="1"/>
    <col min="4" max="4" width="12.6640625" style="1" bestFit="1" customWidth="1"/>
    <col min="5" max="5" width="12.109375" bestFit="1" customWidth="1"/>
    <col min="6" max="6" width="10.5546875" bestFit="1" customWidth="1"/>
    <col min="7" max="7" width="10.33203125" bestFit="1" customWidth="1"/>
    <col min="8" max="8" width="7.5546875" bestFit="1" customWidth="1"/>
    <col min="9" max="9" width="17.6640625" bestFit="1" customWidth="1"/>
    <col min="10" max="10" width="9.88671875" bestFit="1" customWidth="1"/>
    <col min="11" max="11" width="9" bestFit="1" customWidth="1"/>
    <col min="12" max="12" width="11.88671875" bestFit="1" customWidth="1"/>
    <col min="13" max="13" width="13.33203125" bestFit="1" customWidth="1"/>
  </cols>
  <sheetData>
    <row r="1" spans="1:13" x14ac:dyDescent="0.3">
      <c r="A1" t="s">
        <v>14</v>
      </c>
      <c r="B1" t="s">
        <v>5</v>
      </c>
      <c r="C1" t="s">
        <v>15</v>
      </c>
      <c r="D1" s="1" t="s">
        <v>16</v>
      </c>
      <c r="E1" t="s">
        <v>19</v>
      </c>
      <c r="F1" t="s">
        <v>8</v>
      </c>
      <c r="G1" t="s">
        <v>10</v>
      </c>
      <c r="H1" t="s">
        <v>11</v>
      </c>
      <c r="I1" t="s">
        <v>21</v>
      </c>
      <c r="J1" t="s">
        <v>22</v>
      </c>
      <c r="K1" t="s">
        <v>12</v>
      </c>
      <c r="L1" t="s">
        <v>578</v>
      </c>
      <c r="M1" t="s">
        <v>576</v>
      </c>
    </row>
    <row r="2" spans="1:13" x14ac:dyDescent="0.3">
      <c r="A2" s="8" t="s">
        <v>579</v>
      </c>
      <c r="B2" s="8" t="s">
        <v>23</v>
      </c>
      <c r="C2" s="8" t="s">
        <v>24</v>
      </c>
      <c r="D2" s="1">
        <v>45618</v>
      </c>
      <c r="E2" s="8" t="s">
        <v>26</v>
      </c>
      <c r="F2" s="8" t="s">
        <v>27</v>
      </c>
      <c r="G2">
        <v>3</v>
      </c>
      <c r="H2">
        <v>38</v>
      </c>
      <c r="I2" s="8" t="s">
        <v>28</v>
      </c>
      <c r="J2" s="8" t="s">
        <v>29</v>
      </c>
      <c r="K2">
        <v>114</v>
      </c>
      <c r="L2">
        <v>114</v>
      </c>
      <c r="M2" t="s">
        <v>573</v>
      </c>
    </row>
    <row r="3" spans="1:13" x14ac:dyDescent="0.3">
      <c r="A3" s="8" t="s">
        <v>580</v>
      </c>
      <c r="B3" s="8" t="s">
        <v>30</v>
      </c>
      <c r="C3" s="8" t="s">
        <v>31</v>
      </c>
      <c r="D3" s="1">
        <v>45843</v>
      </c>
      <c r="E3" s="8" t="s">
        <v>32</v>
      </c>
      <c r="F3" s="8" t="s">
        <v>33</v>
      </c>
      <c r="G3">
        <v>2</v>
      </c>
      <c r="I3" s="8" t="s">
        <v>35</v>
      </c>
      <c r="J3" s="8" t="s">
        <v>36</v>
      </c>
      <c r="M3" t="s">
        <v>574</v>
      </c>
    </row>
    <row r="4" spans="1:13" x14ac:dyDescent="0.3">
      <c r="A4" s="8" t="s">
        <v>581</v>
      </c>
      <c r="B4" s="8" t="s">
        <v>37</v>
      </c>
      <c r="C4" s="8" t="s">
        <v>38</v>
      </c>
      <c r="D4" s="1">
        <v>45649</v>
      </c>
      <c r="E4" s="8" t="s">
        <v>40</v>
      </c>
      <c r="F4" s="8" t="s">
        <v>41</v>
      </c>
      <c r="G4">
        <v>1</v>
      </c>
      <c r="H4">
        <v>389.05</v>
      </c>
      <c r="I4" s="8" t="s">
        <v>35</v>
      </c>
      <c r="J4" s="8" t="s">
        <v>43</v>
      </c>
      <c r="K4">
        <v>389.05</v>
      </c>
      <c r="L4">
        <v>389.05</v>
      </c>
      <c r="M4" t="s">
        <v>573</v>
      </c>
    </row>
    <row r="5" spans="1:13" x14ac:dyDescent="0.3">
      <c r="A5" s="8" t="s">
        <v>582</v>
      </c>
      <c r="B5" s="8" t="s">
        <v>44</v>
      </c>
      <c r="C5" s="8" t="s">
        <v>45</v>
      </c>
      <c r="D5" s="1">
        <v>45735</v>
      </c>
      <c r="E5" s="8" t="s">
        <v>47</v>
      </c>
      <c r="F5" s="8" t="s">
        <v>48</v>
      </c>
      <c r="G5">
        <v>5</v>
      </c>
      <c r="H5">
        <v>233.92</v>
      </c>
      <c r="I5" s="8" t="s">
        <v>35</v>
      </c>
      <c r="J5" s="8" t="s">
        <v>36</v>
      </c>
      <c r="K5">
        <v>1169.5999999999999</v>
      </c>
      <c r="L5">
        <v>1169.5999999999999</v>
      </c>
      <c r="M5" t="s">
        <v>573</v>
      </c>
    </row>
    <row r="6" spans="1:13" x14ac:dyDescent="0.3">
      <c r="A6" s="8" t="s">
        <v>583</v>
      </c>
      <c r="B6" s="8" t="s">
        <v>51</v>
      </c>
      <c r="C6" s="8" t="s">
        <v>52</v>
      </c>
      <c r="D6" s="1">
        <v>45950</v>
      </c>
      <c r="E6" s="8" t="s">
        <v>54</v>
      </c>
      <c r="F6" s="8" t="s">
        <v>48</v>
      </c>
      <c r="G6">
        <v>1</v>
      </c>
      <c r="H6">
        <v>552.51</v>
      </c>
      <c r="I6" s="8" t="s">
        <v>28</v>
      </c>
      <c r="J6" s="8" t="s">
        <v>36</v>
      </c>
      <c r="K6">
        <v>552.51</v>
      </c>
      <c r="L6">
        <v>552.51</v>
      </c>
      <c r="M6" t="s">
        <v>573</v>
      </c>
    </row>
    <row r="7" spans="1:13" x14ac:dyDescent="0.3">
      <c r="A7" s="8" t="s">
        <v>584</v>
      </c>
      <c r="B7" s="8" t="s">
        <v>56</v>
      </c>
      <c r="C7" s="8" t="s">
        <v>57</v>
      </c>
      <c r="D7" s="1">
        <v>45616</v>
      </c>
      <c r="E7" s="8" t="s">
        <v>40</v>
      </c>
      <c r="F7" s="8" t="s">
        <v>41</v>
      </c>
      <c r="G7">
        <v>3</v>
      </c>
      <c r="H7">
        <v>122.06</v>
      </c>
      <c r="I7" s="8" t="s">
        <v>28</v>
      </c>
      <c r="J7" s="8" t="s">
        <v>60</v>
      </c>
      <c r="K7">
        <v>366.18</v>
      </c>
      <c r="L7">
        <v>366.18</v>
      </c>
      <c r="M7" t="s">
        <v>573</v>
      </c>
    </row>
    <row r="8" spans="1:13" x14ac:dyDescent="0.3">
      <c r="A8" s="8" t="s">
        <v>585</v>
      </c>
      <c r="B8" s="8" t="s">
        <v>62</v>
      </c>
      <c r="C8" s="8" t="s">
        <v>63</v>
      </c>
      <c r="D8" s="1">
        <v>45690</v>
      </c>
      <c r="E8" s="8" t="s">
        <v>26</v>
      </c>
      <c r="F8" s="8" t="s">
        <v>27</v>
      </c>
      <c r="H8">
        <v>978.63</v>
      </c>
      <c r="I8" s="8" t="s">
        <v>65</v>
      </c>
      <c r="J8" s="8" t="s">
        <v>36</v>
      </c>
      <c r="M8" t="s">
        <v>574</v>
      </c>
    </row>
    <row r="9" spans="1:13" x14ac:dyDescent="0.3">
      <c r="A9" s="8" t="s">
        <v>586</v>
      </c>
      <c r="B9" s="8" t="s">
        <v>66</v>
      </c>
      <c r="C9" s="8" t="s">
        <v>67</v>
      </c>
      <c r="D9" s="1">
        <v>45660</v>
      </c>
      <c r="E9" s="8" t="s">
        <v>54</v>
      </c>
      <c r="F9" s="8" t="s">
        <v>48</v>
      </c>
      <c r="G9">
        <v>5</v>
      </c>
      <c r="H9">
        <v>587.67999999999995</v>
      </c>
      <c r="I9" s="8" t="s">
        <v>35</v>
      </c>
      <c r="J9" s="8" t="s">
        <v>69</v>
      </c>
      <c r="K9">
        <v>2938.4</v>
      </c>
      <c r="L9">
        <v>2938.3999999999996</v>
      </c>
      <c r="M9" t="s">
        <v>573</v>
      </c>
    </row>
    <row r="10" spans="1:13" x14ac:dyDescent="0.3">
      <c r="A10" s="8" t="s">
        <v>587</v>
      </c>
      <c r="B10" s="8" t="s">
        <v>71</v>
      </c>
      <c r="C10" s="8" t="s">
        <v>72</v>
      </c>
      <c r="D10" s="1">
        <v>45953</v>
      </c>
      <c r="E10" s="8" t="s">
        <v>47</v>
      </c>
      <c r="F10" s="8" t="s">
        <v>48</v>
      </c>
      <c r="G10">
        <v>1</v>
      </c>
      <c r="H10">
        <v>600.29</v>
      </c>
      <c r="I10" s="8" t="s">
        <v>28</v>
      </c>
      <c r="J10" s="8" t="s">
        <v>36</v>
      </c>
      <c r="K10">
        <v>600.29</v>
      </c>
      <c r="L10">
        <v>600.29</v>
      </c>
      <c r="M10" t="s">
        <v>573</v>
      </c>
    </row>
    <row r="11" spans="1:13" x14ac:dyDescent="0.3">
      <c r="A11" s="8" t="s">
        <v>588</v>
      </c>
      <c r="B11" s="8" t="s">
        <v>75</v>
      </c>
      <c r="C11" s="8" t="s">
        <v>76</v>
      </c>
      <c r="D11" s="1">
        <v>45780</v>
      </c>
      <c r="E11" s="8" t="s">
        <v>40</v>
      </c>
      <c r="F11" s="8" t="s">
        <v>41</v>
      </c>
      <c r="G11">
        <v>5</v>
      </c>
      <c r="H11">
        <v>168.34</v>
      </c>
      <c r="I11" s="8" t="s">
        <v>78</v>
      </c>
      <c r="J11" s="8" t="s">
        <v>29</v>
      </c>
      <c r="K11">
        <v>841.7</v>
      </c>
      <c r="L11">
        <v>841.7</v>
      </c>
      <c r="M11" t="s">
        <v>573</v>
      </c>
    </row>
    <row r="12" spans="1:13" x14ac:dyDescent="0.3">
      <c r="A12" s="8" t="s">
        <v>589</v>
      </c>
      <c r="B12" s="8" t="s">
        <v>80</v>
      </c>
      <c r="C12" s="8" t="s">
        <v>81</v>
      </c>
      <c r="D12" s="1">
        <v>45926</v>
      </c>
      <c r="E12" s="8" t="s">
        <v>83</v>
      </c>
      <c r="F12" s="8" t="s">
        <v>41</v>
      </c>
      <c r="G12">
        <v>5</v>
      </c>
      <c r="I12" s="8" t="s">
        <v>28</v>
      </c>
      <c r="J12" s="8" t="s">
        <v>60</v>
      </c>
      <c r="M12" t="s">
        <v>574</v>
      </c>
    </row>
    <row r="13" spans="1:13" x14ac:dyDescent="0.3">
      <c r="A13" s="8" t="s">
        <v>590</v>
      </c>
      <c r="B13" s="8" t="s">
        <v>86</v>
      </c>
      <c r="C13" s="8" t="s">
        <v>87</v>
      </c>
      <c r="D13" s="1">
        <v>45952</v>
      </c>
      <c r="E13" s="8" t="s">
        <v>89</v>
      </c>
      <c r="F13" s="8" t="s">
        <v>48</v>
      </c>
      <c r="G13">
        <v>2</v>
      </c>
      <c r="H13">
        <v>865.77</v>
      </c>
      <c r="I13" s="8" t="s">
        <v>78</v>
      </c>
      <c r="J13" s="8" t="s">
        <v>69</v>
      </c>
      <c r="K13">
        <v>1731.54</v>
      </c>
      <c r="L13">
        <v>1731.54</v>
      </c>
      <c r="M13" t="s">
        <v>573</v>
      </c>
    </row>
    <row r="14" spans="1:13" x14ac:dyDescent="0.3">
      <c r="A14" s="8" t="s">
        <v>591</v>
      </c>
      <c r="B14" s="8" t="s">
        <v>92</v>
      </c>
      <c r="C14" s="8" t="s">
        <v>93</v>
      </c>
      <c r="D14" s="1">
        <v>45718</v>
      </c>
      <c r="E14" s="8" t="s">
        <v>94</v>
      </c>
      <c r="F14" s="8" t="s">
        <v>95</v>
      </c>
      <c r="G14">
        <v>4</v>
      </c>
      <c r="H14">
        <v>752.13</v>
      </c>
      <c r="I14" s="8" t="s">
        <v>65</v>
      </c>
      <c r="J14" s="8" t="s">
        <v>43</v>
      </c>
      <c r="K14">
        <v>3008.52</v>
      </c>
      <c r="L14">
        <v>3008.52</v>
      </c>
      <c r="M14" t="s">
        <v>573</v>
      </c>
    </row>
    <row r="15" spans="1:13" x14ac:dyDescent="0.3">
      <c r="A15" s="8" t="s">
        <v>592</v>
      </c>
      <c r="B15" s="8" t="s">
        <v>98</v>
      </c>
      <c r="C15" s="8" t="s">
        <v>99</v>
      </c>
      <c r="D15" s="1">
        <v>45862</v>
      </c>
      <c r="E15" s="8" t="s">
        <v>101</v>
      </c>
      <c r="F15" s="8" t="s">
        <v>48</v>
      </c>
      <c r="G15">
        <v>1</v>
      </c>
      <c r="H15">
        <v>411.81</v>
      </c>
      <c r="I15" s="8" t="s">
        <v>78</v>
      </c>
      <c r="J15" s="8" t="s">
        <v>36</v>
      </c>
      <c r="K15">
        <v>411.81</v>
      </c>
      <c r="L15">
        <v>411.81</v>
      </c>
      <c r="M15" t="s">
        <v>573</v>
      </c>
    </row>
    <row r="16" spans="1:13" x14ac:dyDescent="0.3">
      <c r="A16" s="8" t="s">
        <v>471</v>
      </c>
      <c r="B16" s="8" t="s">
        <v>103</v>
      </c>
      <c r="C16" s="8" t="s">
        <v>104</v>
      </c>
      <c r="D16" s="1">
        <v>44931</v>
      </c>
      <c r="E16" s="8" t="s">
        <v>32</v>
      </c>
      <c r="F16" s="8" t="s">
        <v>33</v>
      </c>
      <c r="G16">
        <v>2</v>
      </c>
      <c r="H16">
        <v>413.13</v>
      </c>
      <c r="I16" s="8" t="s">
        <v>28</v>
      </c>
      <c r="J16" s="8" t="s">
        <v>29</v>
      </c>
      <c r="K16">
        <v>826.26</v>
      </c>
      <c r="L16">
        <v>826.26</v>
      </c>
      <c r="M16" t="s">
        <v>573</v>
      </c>
    </row>
    <row r="17" spans="1:13" x14ac:dyDescent="0.3">
      <c r="A17" s="8" t="s">
        <v>593</v>
      </c>
      <c r="B17" s="8" t="s">
        <v>108</v>
      </c>
      <c r="C17" s="8" t="s">
        <v>109</v>
      </c>
      <c r="D17" s="1">
        <v>45667</v>
      </c>
      <c r="E17" s="8" t="s">
        <v>101</v>
      </c>
      <c r="F17" s="8" t="s">
        <v>48</v>
      </c>
      <c r="G17">
        <v>2</v>
      </c>
      <c r="H17">
        <v>796.84</v>
      </c>
      <c r="I17" s="8" t="s">
        <v>28</v>
      </c>
      <c r="J17" s="8" t="s">
        <v>69</v>
      </c>
      <c r="K17">
        <v>1115.576</v>
      </c>
      <c r="L17">
        <v>1593.68</v>
      </c>
      <c r="M17" t="s">
        <v>575</v>
      </c>
    </row>
    <row r="18" spans="1:13" x14ac:dyDescent="0.3">
      <c r="A18" s="8" t="s">
        <v>594</v>
      </c>
      <c r="B18" s="8" t="s">
        <v>112</v>
      </c>
      <c r="C18" s="8" t="s">
        <v>113</v>
      </c>
      <c r="D18" s="1">
        <v>45960</v>
      </c>
      <c r="E18" s="8" t="s">
        <v>115</v>
      </c>
      <c r="F18" s="8" t="s">
        <v>27</v>
      </c>
      <c r="G18">
        <v>4</v>
      </c>
      <c r="I18" s="8" t="s">
        <v>28</v>
      </c>
      <c r="J18" s="8" t="s">
        <v>36</v>
      </c>
      <c r="M18" t="s">
        <v>574</v>
      </c>
    </row>
    <row r="19" spans="1:13" x14ac:dyDescent="0.3">
      <c r="A19" s="8" t="s">
        <v>595</v>
      </c>
      <c r="B19" s="8" t="s">
        <v>116</v>
      </c>
      <c r="C19" s="8" t="s">
        <v>117</v>
      </c>
      <c r="D19" s="1">
        <v>45700</v>
      </c>
      <c r="E19" s="8" t="s">
        <v>26</v>
      </c>
      <c r="F19" s="8" t="s">
        <v>33</v>
      </c>
      <c r="G19">
        <v>-2</v>
      </c>
      <c r="H19">
        <v>10000</v>
      </c>
      <c r="I19" s="8" t="s">
        <v>28</v>
      </c>
      <c r="J19" s="8" t="s">
        <v>36</v>
      </c>
      <c r="K19">
        <v>-20000</v>
      </c>
      <c r="L19">
        <v>-20000</v>
      </c>
      <c r="M19" t="s">
        <v>573</v>
      </c>
    </row>
    <row r="20" spans="1:13" x14ac:dyDescent="0.3">
      <c r="A20" s="8" t="s">
        <v>596</v>
      </c>
      <c r="B20" s="8" t="s">
        <v>119</v>
      </c>
      <c r="C20" s="8" t="s">
        <v>120</v>
      </c>
      <c r="D20" s="1">
        <v>45808</v>
      </c>
      <c r="E20" s="8" t="s">
        <v>47</v>
      </c>
      <c r="F20" s="8" t="s">
        <v>48</v>
      </c>
      <c r="G20">
        <v>5</v>
      </c>
      <c r="H20">
        <v>247.82</v>
      </c>
      <c r="I20" s="8" t="s">
        <v>35</v>
      </c>
      <c r="J20" s="8" t="s">
        <v>36</v>
      </c>
      <c r="K20">
        <v>1239.0999999999999</v>
      </c>
      <c r="L20">
        <v>1239.0999999999999</v>
      </c>
      <c r="M20" t="s">
        <v>573</v>
      </c>
    </row>
    <row r="21" spans="1:13" x14ac:dyDescent="0.3">
      <c r="A21" s="8" t="s">
        <v>597</v>
      </c>
      <c r="B21" s="8" t="s">
        <v>124</v>
      </c>
      <c r="C21" s="8" t="s">
        <v>125</v>
      </c>
      <c r="D21" s="1">
        <v>45645</v>
      </c>
      <c r="E21" s="8" t="s">
        <v>83</v>
      </c>
      <c r="F21" s="8" t="s">
        <v>41</v>
      </c>
      <c r="G21">
        <v>4</v>
      </c>
      <c r="H21">
        <v>438.19</v>
      </c>
      <c r="I21" s="8" t="s">
        <v>28</v>
      </c>
      <c r="J21" s="8" t="s">
        <v>36</v>
      </c>
      <c r="K21">
        <v>1752.76</v>
      </c>
      <c r="L21">
        <v>1752.76</v>
      </c>
      <c r="M21" t="s">
        <v>573</v>
      </c>
    </row>
    <row r="22" spans="1:13" x14ac:dyDescent="0.3">
      <c r="A22" s="8" t="s">
        <v>598</v>
      </c>
      <c r="B22" s="8" t="s">
        <v>129</v>
      </c>
      <c r="C22" s="8" t="s">
        <v>130</v>
      </c>
      <c r="D22" s="1">
        <v>45821</v>
      </c>
      <c r="E22" s="8" t="s">
        <v>132</v>
      </c>
      <c r="F22" s="8" t="s">
        <v>33</v>
      </c>
      <c r="G22">
        <v>5</v>
      </c>
      <c r="H22">
        <v>300</v>
      </c>
      <c r="I22" s="8" t="s">
        <v>78</v>
      </c>
      <c r="J22" s="8" t="s">
        <v>60</v>
      </c>
      <c r="L22">
        <v>1500</v>
      </c>
      <c r="M22" t="s">
        <v>574</v>
      </c>
    </row>
    <row r="23" spans="1:13" x14ac:dyDescent="0.3">
      <c r="A23" s="8" t="s">
        <v>599</v>
      </c>
      <c r="B23" s="8" t="s">
        <v>135</v>
      </c>
      <c r="C23" s="8" t="s">
        <v>136</v>
      </c>
      <c r="D23" s="1">
        <v>45941</v>
      </c>
      <c r="E23" s="8" t="s">
        <v>83</v>
      </c>
      <c r="F23" s="8" t="s">
        <v>41</v>
      </c>
      <c r="G23">
        <v>4</v>
      </c>
      <c r="H23">
        <v>523.01</v>
      </c>
      <c r="I23" s="8" t="s">
        <v>78</v>
      </c>
      <c r="J23" s="8" t="s">
        <v>43</v>
      </c>
      <c r="K23">
        <v>2092.04</v>
      </c>
      <c r="L23">
        <v>2092.04</v>
      </c>
      <c r="M23" t="s">
        <v>573</v>
      </c>
    </row>
    <row r="24" spans="1:13" x14ac:dyDescent="0.3">
      <c r="A24" s="8" t="s">
        <v>600</v>
      </c>
      <c r="B24" s="8" t="s">
        <v>139</v>
      </c>
      <c r="C24" s="8" t="s">
        <v>140</v>
      </c>
      <c r="D24" s="1">
        <v>45793</v>
      </c>
      <c r="E24" s="8" t="s">
        <v>115</v>
      </c>
      <c r="F24" s="8" t="s">
        <v>27</v>
      </c>
      <c r="G24">
        <v>2</v>
      </c>
      <c r="H24">
        <v>556.92999999999995</v>
      </c>
      <c r="I24" s="8" t="s">
        <v>35</v>
      </c>
      <c r="J24" s="8" t="s">
        <v>29</v>
      </c>
      <c r="K24">
        <v>1113.8599999999999</v>
      </c>
      <c r="L24">
        <v>1113.8599999999999</v>
      </c>
      <c r="M24" t="s">
        <v>573</v>
      </c>
    </row>
    <row r="25" spans="1:13" x14ac:dyDescent="0.3">
      <c r="A25" s="8" t="s">
        <v>601</v>
      </c>
      <c r="B25" s="8" t="s">
        <v>144</v>
      </c>
      <c r="C25" s="8" t="s">
        <v>145</v>
      </c>
      <c r="D25" s="1">
        <v>45936</v>
      </c>
      <c r="E25" s="8" t="s">
        <v>146</v>
      </c>
      <c r="F25" s="8" t="s">
        <v>33</v>
      </c>
      <c r="G25">
        <v>3</v>
      </c>
      <c r="H25">
        <v>615.91</v>
      </c>
      <c r="I25" s="8" t="s">
        <v>28</v>
      </c>
      <c r="J25" s="8" t="s">
        <v>60</v>
      </c>
      <c r="K25">
        <v>1847.73</v>
      </c>
      <c r="L25">
        <v>1847.73</v>
      </c>
      <c r="M25" t="s">
        <v>573</v>
      </c>
    </row>
    <row r="26" spans="1:13" x14ac:dyDescent="0.3">
      <c r="A26" s="8" t="s">
        <v>602</v>
      </c>
      <c r="B26" s="8" t="s">
        <v>149</v>
      </c>
      <c r="C26" s="8" t="s">
        <v>150</v>
      </c>
      <c r="D26" s="1">
        <v>45808</v>
      </c>
      <c r="E26" s="8" t="s">
        <v>89</v>
      </c>
      <c r="F26" s="8" t="s">
        <v>48</v>
      </c>
      <c r="G26">
        <v>5</v>
      </c>
      <c r="I26" s="8" t="s">
        <v>35</v>
      </c>
      <c r="J26" s="8" t="s">
        <v>60</v>
      </c>
      <c r="M26" t="s">
        <v>574</v>
      </c>
    </row>
    <row r="27" spans="1:13" x14ac:dyDescent="0.3">
      <c r="A27" s="8" t="s">
        <v>603</v>
      </c>
      <c r="B27" s="8" t="s">
        <v>151</v>
      </c>
      <c r="C27" s="8" t="s">
        <v>152</v>
      </c>
      <c r="D27" s="1">
        <v>45697</v>
      </c>
      <c r="E27" s="8" t="s">
        <v>89</v>
      </c>
      <c r="F27" s="8" t="s">
        <v>48</v>
      </c>
      <c r="G27">
        <v>4</v>
      </c>
      <c r="H27">
        <v>765.69</v>
      </c>
      <c r="I27" s="8" t="s">
        <v>35</v>
      </c>
      <c r="J27" s="8" t="s">
        <v>29</v>
      </c>
      <c r="K27">
        <v>3062.76</v>
      </c>
      <c r="L27">
        <v>3062.76</v>
      </c>
      <c r="M27" t="s">
        <v>573</v>
      </c>
    </row>
    <row r="28" spans="1:13" x14ac:dyDescent="0.3">
      <c r="A28" s="8" t="s">
        <v>604</v>
      </c>
      <c r="B28" s="8" t="s">
        <v>155</v>
      </c>
      <c r="C28" s="8" t="s">
        <v>156</v>
      </c>
      <c r="D28" s="1">
        <v>45795</v>
      </c>
      <c r="E28" s="8" t="s">
        <v>94</v>
      </c>
      <c r="F28" s="8" t="s">
        <v>95</v>
      </c>
      <c r="G28">
        <v>4</v>
      </c>
      <c r="H28">
        <v>836.8</v>
      </c>
      <c r="I28" s="8" t="s">
        <v>65</v>
      </c>
      <c r="J28" s="8" t="s">
        <v>60</v>
      </c>
      <c r="K28">
        <v>3347.2</v>
      </c>
      <c r="L28">
        <v>3347.2</v>
      </c>
      <c r="M28" t="s">
        <v>573</v>
      </c>
    </row>
    <row r="29" spans="1:13" x14ac:dyDescent="0.3">
      <c r="A29" s="8" t="s">
        <v>605</v>
      </c>
      <c r="B29" s="8" t="s">
        <v>160</v>
      </c>
      <c r="C29" s="8" t="s">
        <v>161</v>
      </c>
      <c r="D29" s="1">
        <v>45789</v>
      </c>
      <c r="E29" s="8" t="s">
        <v>26</v>
      </c>
      <c r="F29" s="8" t="s">
        <v>27</v>
      </c>
      <c r="G29">
        <v>5</v>
      </c>
      <c r="H29">
        <v>336.02</v>
      </c>
      <c r="I29" s="8" t="s">
        <v>65</v>
      </c>
      <c r="J29" s="8" t="s">
        <v>69</v>
      </c>
      <c r="K29">
        <v>1680.1</v>
      </c>
      <c r="L29">
        <v>1680.1</v>
      </c>
      <c r="M29" t="s">
        <v>573</v>
      </c>
    </row>
    <row r="30" spans="1:13" x14ac:dyDescent="0.3">
      <c r="A30" s="8" t="s">
        <v>606</v>
      </c>
      <c r="B30" s="8" t="s">
        <v>164</v>
      </c>
      <c r="C30" s="8" t="s">
        <v>165</v>
      </c>
      <c r="D30" s="1">
        <v>45606</v>
      </c>
      <c r="E30" s="8" t="s">
        <v>166</v>
      </c>
      <c r="F30" s="8" t="s">
        <v>33</v>
      </c>
      <c r="G30">
        <v>3</v>
      </c>
      <c r="H30">
        <v>898.69</v>
      </c>
      <c r="I30" s="8" t="s">
        <v>65</v>
      </c>
      <c r="J30" s="8" t="s">
        <v>43</v>
      </c>
      <c r="K30">
        <v>2696.07</v>
      </c>
      <c r="L30">
        <v>2696.07</v>
      </c>
      <c r="M30" t="s">
        <v>573</v>
      </c>
    </row>
    <row r="31" spans="1:13" x14ac:dyDescent="0.3">
      <c r="A31" s="8" t="s">
        <v>607</v>
      </c>
      <c r="B31" s="8" t="s">
        <v>170</v>
      </c>
      <c r="C31" s="8" t="s">
        <v>171</v>
      </c>
      <c r="D31" s="1">
        <v>45830</v>
      </c>
      <c r="E31" s="8" t="s">
        <v>47</v>
      </c>
      <c r="F31" s="8" t="s">
        <v>48</v>
      </c>
      <c r="G31">
        <v>4</v>
      </c>
      <c r="H31">
        <v>736.71</v>
      </c>
      <c r="I31" s="8" t="s">
        <v>65</v>
      </c>
      <c r="J31" s="8" t="s">
        <v>69</v>
      </c>
      <c r="K31">
        <v>2946.84</v>
      </c>
      <c r="L31">
        <v>2946.84</v>
      </c>
      <c r="M31" t="s">
        <v>573</v>
      </c>
    </row>
    <row r="32" spans="1:13" x14ac:dyDescent="0.3">
      <c r="A32" s="8" t="s">
        <v>608</v>
      </c>
      <c r="B32" s="8" t="s">
        <v>175</v>
      </c>
      <c r="C32" s="8" t="s">
        <v>176</v>
      </c>
      <c r="D32" s="1">
        <v>45884</v>
      </c>
      <c r="E32" s="8" t="s">
        <v>40</v>
      </c>
      <c r="F32" s="8" t="s">
        <v>41</v>
      </c>
      <c r="G32">
        <v>2</v>
      </c>
      <c r="I32" s="8" t="s">
        <v>65</v>
      </c>
      <c r="J32" s="8" t="s">
        <v>36</v>
      </c>
      <c r="M32" t="s">
        <v>574</v>
      </c>
    </row>
    <row r="33" spans="1:13" x14ac:dyDescent="0.3">
      <c r="A33" s="8" t="s">
        <v>609</v>
      </c>
      <c r="B33" s="8" t="s">
        <v>178</v>
      </c>
      <c r="C33" s="8" t="s">
        <v>179</v>
      </c>
      <c r="D33" s="1">
        <v>45819</v>
      </c>
      <c r="E33" s="8" t="s">
        <v>166</v>
      </c>
      <c r="F33" s="8" t="s">
        <v>27</v>
      </c>
      <c r="G33">
        <v>5</v>
      </c>
      <c r="H33">
        <v>616.63</v>
      </c>
      <c r="I33" s="8" t="s">
        <v>35</v>
      </c>
      <c r="J33" s="8" t="s">
        <v>29</v>
      </c>
      <c r="K33">
        <v>3083.15</v>
      </c>
      <c r="L33">
        <v>3083.15</v>
      </c>
      <c r="M33" t="s">
        <v>573</v>
      </c>
    </row>
    <row r="34" spans="1:13" x14ac:dyDescent="0.3">
      <c r="A34" s="8" t="s">
        <v>610</v>
      </c>
      <c r="B34" s="8" t="s">
        <v>182</v>
      </c>
      <c r="C34" s="8" t="s">
        <v>183</v>
      </c>
      <c r="D34" s="1">
        <v>45749</v>
      </c>
      <c r="E34" s="8" t="s">
        <v>132</v>
      </c>
      <c r="F34" s="8" t="s">
        <v>33</v>
      </c>
      <c r="G34">
        <v>1</v>
      </c>
      <c r="H34">
        <v>266.7</v>
      </c>
      <c r="I34" s="8" t="s">
        <v>35</v>
      </c>
      <c r="J34" s="8" t="s">
        <v>43</v>
      </c>
      <c r="K34">
        <v>266.7</v>
      </c>
      <c r="L34">
        <v>266.7</v>
      </c>
      <c r="M34" t="s">
        <v>573</v>
      </c>
    </row>
    <row r="35" spans="1:13" x14ac:dyDescent="0.3">
      <c r="A35" s="8" t="s">
        <v>611</v>
      </c>
      <c r="B35" s="8" t="s">
        <v>185</v>
      </c>
      <c r="C35" s="8" t="s">
        <v>186</v>
      </c>
      <c r="D35" s="1">
        <v>45631</v>
      </c>
      <c r="E35" s="8" t="s">
        <v>54</v>
      </c>
      <c r="F35" s="8"/>
      <c r="G35">
        <v>5</v>
      </c>
      <c r="H35">
        <v>343.24</v>
      </c>
      <c r="I35" s="8" t="s">
        <v>78</v>
      </c>
      <c r="J35" s="8" t="s">
        <v>29</v>
      </c>
      <c r="K35">
        <v>1716.2</v>
      </c>
      <c r="L35">
        <v>1716.2</v>
      </c>
      <c r="M35" t="s">
        <v>573</v>
      </c>
    </row>
    <row r="36" spans="1:13" x14ac:dyDescent="0.3">
      <c r="A36" s="8" t="s">
        <v>612</v>
      </c>
      <c r="B36" s="8" t="s">
        <v>190</v>
      </c>
      <c r="C36" s="8" t="s">
        <v>191</v>
      </c>
      <c r="D36" s="1">
        <v>45934</v>
      </c>
      <c r="E36" s="8" t="s">
        <v>613</v>
      </c>
      <c r="F36" s="8" t="s">
        <v>95</v>
      </c>
      <c r="G36">
        <v>-5</v>
      </c>
      <c r="H36">
        <v>591.53</v>
      </c>
      <c r="I36" s="8" t="s">
        <v>35</v>
      </c>
      <c r="J36" s="8" t="s">
        <v>29</v>
      </c>
      <c r="K36">
        <v>-2957.65</v>
      </c>
      <c r="L36">
        <v>-2957.6499999999996</v>
      </c>
      <c r="M36" t="s">
        <v>573</v>
      </c>
    </row>
    <row r="37" spans="1:13" x14ac:dyDescent="0.3">
      <c r="A37" s="8" t="s">
        <v>614</v>
      </c>
      <c r="B37" s="8" t="s">
        <v>195</v>
      </c>
      <c r="C37" s="8" t="s">
        <v>196</v>
      </c>
      <c r="D37" s="1">
        <v>45697</v>
      </c>
      <c r="E37" s="8" t="s">
        <v>197</v>
      </c>
      <c r="F37" s="8" t="s">
        <v>33</v>
      </c>
      <c r="G37">
        <v>4</v>
      </c>
      <c r="H37">
        <v>446.19</v>
      </c>
      <c r="I37" s="8" t="s">
        <v>28</v>
      </c>
      <c r="J37" s="8" t="s">
        <v>60</v>
      </c>
      <c r="K37">
        <v>1784.76</v>
      </c>
      <c r="L37">
        <v>1784.76</v>
      </c>
      <c r="M37" t="s">
        <v>573</v>
      </c>
    </row>
    <row r="38" spans="1:13" x14ac:dyDescent="0.3">
      <c r="A38" s="8" t="s">
        <v>615</v>
      </c>
      <c r="B38" s="8" t="s">
        <v>200</v>
      </c>
      <c r="C38" s="8" t="s">
        <v>201</v>
      </c>
      <c r="D38" s="1">
        <v>45820</v>
      </c>
      <c r="E38" s="8" t="s">
        <v>202</v>
      </c>
      <c r="F38" s="8" t="s">
        <v>474</v>
      </c>
      <c r="G38">
        <v>1</v>
      </c>
      <c r="H38">
        <v>696.71</v>
      </c>
      <c r="I38" s="8" t="s">
        <v>78</v>
      </c>
      <c r="J38" s="8" t="s">
        <v>43</v>
      </c>
      <c r="K38">
        <v>696.71</v>
      </c>
      <c r="L38">
        <v>696.71</v>
      </c>
      <c r="M38" t="s">
        <v>573</v>
      </c>
    </row>
    <row r="39" spans="1:13" x14ac:dyDescent="0.3">
      <c r="A39" s="8" t="s">
        <v>616</v>
      </c>
      <c r="B39" s="8" t="s">
        <v>204</v>
      </c>
      <c r="C39" s="8" t="s">
        <v>205</v>
      </c>
      <c r="D39" s="1">
        <v>45711</v>
      </c>
      <c r="E39" s="8" t="s">
        <v>146</v>
      </c>
      <c r="F39" s="8" t="s">
        <v>27</v>
      </c>
      <c r="G39">
        <v>3</v>
      </c>
      <c r="H39">
        <v>-100</v>
      </c>
      <c r="I39" s="8" t="s">
        <v>28</v>
      </c>
      <c r="J39" s="8" t="s">
        <v>43</v>
      </c>
      <c r="K39">
        <v>-300</v>
      </c>
      <c r="L39">
        <v>-300</v>
      </c>
      <c r="M39" t="s">
        <v>573</v>
      </c>
    </row>
    <row r="40" spans="1:13" x14ac:dyDescent="0.3">
      <c r="A40" s="8" t="s">
        <v>617</v>
      </c>
      <c r="B40" s="8" t="s">
        <v>207</v>
      </c>
      <c r="C40" s="8" t="s">
        <v>208</v>
      </c>
      <c r="D40" s="1">
        <v>45878</v>
      </c>
      <c r="E40" s="8" t="s">
        <v>166</v>
      </c>
      <c r="F40" s="8" t="s">
        <v>27</v>
      </c>
      <c r="G40">
        <v>1</v>
      </c>
      <c r="H40">
        <v>531.05999999999995</v>
      </c>
      <c r="I40" s="8" t="s">
        <v>35</v>
      </c>
      <c r="J40" s="8" t="s">
        <v>36</v>
      </c>
      <c r="K40">
        <v>531.05999999999995</v>
      </c>
      <c r="L40">
        <v>531.05999999999995</v>
      </c>
      <c r="M40" t="s">
        <v>573</v>
      </c>
    </row>
    <row r="41" spans="1:13" x14ac:dyDescent="0.3">
      <c r="A41" s="8" t="s">
        <v>618</v>
      </c>
      <c r="B41" s="8" t="s">
        <v>210</v>
      </c>
      <c r="C41" s="8" t="s">
        <v>211</v>
      </c>
      <c r="D41" s="1">
        <v>45697</v>
      </c>
      <c r="E41" s="8" t="s">
        <v>32</v>
      </c>
      <c r="F41" s="8" t="s">
        <v>33</v>
      </c>
      <c r="G41">
        <v>2</v>
      </c>
      <c r="H41">
        <v>681.38</v>
      </c>
      <c r="I41" s="8" t="s">
        <v>78</v>
      </c>
      <c r="J41" s="8" t="s">
        <v>60</v>
      </c>
      <c r="K41">
        <v>1362.76</v>
      </c>
      <c r="L41">
        <v>1362.76</v>
      </c>
      <c r="M41" t="s">
        <v>573</v>
      </c>
    </row>
    <row r="42" spans="1:13" x14ac:dyDescent="0.3">
      <c r="A42" s="8" t="s">
        <v>619</v>
      </c>
      <c r="B42" s="8" t="s">
        <v>214</v>
      </c>
      <c r="C42" s="8" t="s">
        <v>215</v>
      </c>
      <c r="D42" s="1">
        <v>45714</v>
      </c>
      <c r="E42" s="8" t="s">
        <v>101</v>
      </c>
      <c r="F42" s="8" t="s">
        <v>48</v>
      </c>
      <c r="G42">
        <v>4</v>
      </c>
      <c r="H42">
        <v>588.98</v>
      </c>
      <c r="I42" s="8" t="s">
        <v>78</v>
      </c>
      <c r="J42" s="8" t="s">
        <v>69</v>
      </c>
      <c r="K42">
        <v>2355.92</v>
      </c>
      <c r="L42">
        <v>2355.92</v>
      </c>
      <c r="M42" t="s">
        <v>573</v>
      </c>
    </row>
    <row r="43" spans="1:13" x14ac:dyDescent="0.3">
      <c r="A43" s="8" t="s">
        <v>620</v>
      </c>
      <c r="B43" s="8" t="s">
        <v>219</v>
      </c>
      <c r="C43" s="8" t="s">
        <v>220</v>
      </c>
      <c r="D43" s="1">
        <v>45701</v>
      </c>
      <c r="E43" s="8" t="s">
        <v>101</v>
      </c>
      <c r="F43" s="8" t="s">
        <v>48</v>
      </c>
      <c r="G43">
        <v>3</v>
      </c>
      <c r="H43">
        <v>546.04</v>
      </c>
      <c r="I43" s="8" t="s">
        <v>28</v>
      </c>
      <c r="J43" s="8" t="s">
        <v>69</v>
      </c>
      <c r="K43">
        <v>1638.12</v>
      </c>
      <c r="L43">
        <v>1638.12</v>
      </c>
      <c r="M43" t="s">
        <v>573</v>
      </c>
    </row>
    <row r="44" spans="1:13" x14ac:dyDescent="0.3">
      <c r="A44" s="8" t="s">
        <v>677</v>
      </c>
      <c r="B44" s="8" t="s">
        <v>224</v>
      </c>
      <c r="C44" s="8" t="s">
        <v>225</v>
      </c>
      <c r="D44" s="1">
        <v>45960</v>
      </c>
      <c r="E44" s="8" t="s">
        <v>94</v>
      </c>
      <c r="F44" s="8" t="s">
        <v>95</v>
      </c>
      <c r="G44">
        <v>5</v>
      </c>
      <c r="H44">
        <v>645.26</v>
      </c>
      <c r="I44" s="8" t="s">
        <v>78</v>
      </c>
      <c r="J44" s="8" t="s">
        <v>29</v>
      </c>
      <c r="K44">
        <v>3226.3</v>
      </c>
      <c r="L44">
        <v>3226.3</v>
      </c>
      <c r="M44" t="s">
        <v>573</v>
      </c>
    </row>
    <row r="45" spans="1:13" x14ac:dyDescent="0.3">
      <c r="A45" s="8" t="s">
        <v>621</v>
      </c>
      <c r="B45" s="8" t="s">
        <v>228</v>
      </c>
      <c r="C45" s="8" t="s">
        <v>229</v>
      </c>
      <c r="D45" s="1">
        <v>45849</v>
      </c>
      <c r="E45" s="8" t="s">
        <v>613</v>
      </c>
      <c r="F45" s="8" t="s">
        <v>95</v>
      </c>
      <c r="G45">
        <v>5</v>
      </c>
      <c r="H45">
        <v>826.77</v>
      </c>
      <c r="I45" s="8" t="s">
        <v>65</v>
      </c>
      <c r="J45" s="8" t="s">
        <v>60</v>
      </c>
      <c r="K45">
        <v>4133.8500000000004</v>
      </c>
      <c r="L45">
        <v>4133.8500000000004</v>
      </c>
      <c r="M45" t="s">
        <v>573</v>
      </c>
    </row>
    <row r="46" spans="1:13" x14ac:dyDescent="0.3">
      <c r="A46" s="8" t="s">
        <v>622</v>
      </c>
      <c r="B46" s="8" t="s">
        <v>232</v>
      </c>
      <c r="C46" s="8" t="s">
        <v>233</v>
      </c>
      <c r="D46" s="1">
        <v>45684</v>
      </c>
      <c r="E46" s="8" t="s">
        <v>235</v>
      </c>
      <c r="F46" s="8" t="s">
        <v>41</v>
      </c>
      <c r="G46">
        <v>5</v>
      </c>
      <c r="H46">
        <v>849.07</v>
      </c>
      <c r="I46" s="8" t="s">
        <v>65</v>
      </c>
      <c r="J46" s="8" t="s">
        <v>36</v>
      </c>
      <c r="K46">
        <v>4245.3500000000004</v>
      </c>
      <c r="L46">
        <v>4245.3500000000004</v>
      </c>
      <c r="M46" t="s">
        <v>573</v>
      </c>
    </row>
    <row r="47" spans="1:13" x14ac:dyDescent="0.3">
      <c r="A47" s="8" t="s">
        <v>623</v>
      </c>
      <c r="B47" s="8" t="s">
        <v>238</v>
      </c>
      <c r="C47" s="8" t="s">
        <v>239</v>
      </c>
      <c r="D47" s="1">
        <v>45047</v>
      </c>
      <c r="E47" s="8" t="s">
        <v>240</v>
      </c>
      <c r="F47" s="8" t="s">
        <v>33</v>
      </c>
      <c r="G47">
        <v>2</v>
      </c>
      <c r="H47">
        <v>860.99</v>
      </c>
      <c r="I47" s="8" t="s">
        <v>65</v>
      </c>
      <c r="J47" s="8" t="s">
        <v>69</v>
      </c>
      <c r="K47">
        <v>1721.98</v>
      </c>
      <c r="L47">
        <v>1721.98</v>
      </c>
      <c r="M47" t="s">
        <v>573</v>
      </c>
    </row>
    <row r="48" spans="1:13" x14ac:dyDescent="0.3">
      <c r="A48" s="8" t="s">
        <v>678</v>
      </c>
      <c r="B48" s="8" t="s">
        <v>243</v>
      </c>
      <c r="C48" s="8" t="s">
        <v>244</v>
      </c>
      <c r="D48" s="1">
        <v>45847</v>
      </c>
      <c r="E48" s="8" t="s">
        <v>83</v>
      </c>
      <c r="F48" s="8" t="s">
        <v>33</v>
      </c>
      <c r="G48">
        <v>2</v>
      </c>
      <c r="H48">
        <v>705.42</v>
      </c>
      <c r="I48" s="8" t="s">
        <v>65</v>
      </c>
      <c r="J48" s="8" t="s">
        <v>36</v>
      </c>
      <c r="K48">
        <v>1410.84</v>
      </c>
      <c r="L48">
        <v>1410.84</v>
      </c>
      <c r="M48" t="s">
        <v>573</v>
      </c>
    </row>
    <row r="49" spans="1:13" x14ac:dyDescent="0.3">
      <c r="A49" s="8" t="s">
        <v>624</v>
      </c>
      <c r="B49" s="8" t="s">
        <v>247</v>
      </c>
      <c r="C49" s="8" t="s">
        <v>248</v>
      </c>
      <c r="D49" s="1">
        <v>45778</v>
      </c>
      <c r="E49" s="8" t="s">
        <v>249</v>
      </c>
      <c r="F49" s="8" t="s">
        <v>95</v>
      </c>
      <c r="G49">
        <v>4</v>
      </c>
      <c r="H49">
        <v>596.15</v>
      </c>
      <c r="I49" s="8" t="s">
        <v>28</v>
      </c>
      <c r="J49" s="8" t="s">
        <v>29</v>
      </c>
      <c r="K49">
        <v>2384.6</v>
      </c>
      <c r="L49">
        <v>2384.6</v>
      </c>
      <c r="M49" t="s">
        <v>573</v>
      </c>
    </row>
    <row r="50" spans="1:13" x14ac:dyDescent="0.3">
      <c r="A50" s="8" t="s">
        <v>625</v>
      </c>
      <c r="B50" s="8" t="s">
        <v>252</v>
      </c>
      <c r="C50" s="8" t="s">
        <v>253</v>
      </c>
      <c r="D50" s="1">
        <v>45729</v>
      </c>
      <c r="E50" s="8" t="s">
        <v>40</v>
      </c>
      <c r="F50" s="8" t="s">
        <v>41</v>
      </c>
      <c r="G50">
        <v>1</v>
      </c>
      <c r="H50">
        <v>660.98</v>
      </c>
      <c r="I50" s="8" t="s">
        <v>28</v>
      </c>
      <c r="J50" s="8" t="s">
        <v>69</v>
      </c>
      <c r="K50">
        <v>660.98</v>
      </c>
      <c r="L50">
        <v>660.98</v>
      </c>
      <c r="M50" t="s">
        <v>573</v>
      </c>
    </row>
    <row r="51" spans="1:13" x14ac:dyDescent="0.3">
      <c r="A51" s="8" t="s">
        <v>626</v>
      </c>
      <c r="B51" s="8" t="s">
        <v>256</v>
      </c>
      <c r="C51" s="8" t="s">
        <v>257</v>
      </c>
      <c r="D51" s="1">
        <v>45837</v>
      </c>
      <c r="E51" s="8" t="s">
        <v>89</v>
      </c>
      <c r="F51" s="8" t="s">
        <v>48</v>
      </c>
      <c r="G51">
        <v>5</v>
      </c>
      <c r="H51">
        <v>896.38</v>
      </c>
      <c r="I51" s="8" t="s">
        <v>65</v>
      </c>
      <c r="J51" s="8" t="s">
        <v>60</v>
      </c>
      <c r="K51">
        <v>4481.8999999999996</v>
      </c>
      <c r="L51">
        <v>4481.8999999999996</v>
      </c>
      <c r="M51" t="s">
        <v>573</v>
      </c>
    </row>
    <row r="52" spans="1:13" x14ac:dyDescent="0.3">
      <c r="A52" s="8" t="s">
        <v>627</v>
      </c>
      <c r="B52" s="8" t="s">
        <v>261</v>
      </c>
      <c r="C52" s="8" t="s">
        <v>262</v>
      </c>
      <c r="D52" s="1">
        <v>45623</v>
      </c>
      <c r="E52" s="8" t="s">
        <v>132</v>
      </c>
      <c r="F52" s="8" t="s">
        <v>41</v>
      </c>
      <c r="G52">
        <v>1</v>
      </c>
      <c r="H52">
        <v>206.19</v>
      </c>
      <c r="I52" s="8" t="s">
        <v>78</v>
      </c>
      <c r="J52" s="8" t="s">
        <v>69</v>
      </c>
      <c r="K52">
        <v>206.19</v>
      </c>
      <c r="L52">
        <v>206.19</v>
      </c>
      <c r="M52" t="s">
        <v>573</v>
      </c>
    </row>
    <row r="53" spans="1:13" x14ac:dyDescent="0.3">
      <c r="A53" s="8" t="s">
        <v>628</v>
      </c>
      <c r="B53" s="8" t="s">
        <v>265</v>
      </c>
      <c r="C53" s="8" t="s">
        <v>266</v>
      </c>
      <c r="D53" s="1">
        <v>45839</v>
      </c>
      <c r="E53" s="8" t="s">
        <v>89</v>
      </c>
      <c r="F53" s="8" t="s">
        <v>48</v>
      </c>
      <c r="G53">
        <v>2</v>
      </c>
      <c r="H53">
        <v>457.16</v>
      </c>
      <c r="I53" s="8" t="s">
        <v>35</v>
      </c>
      <c r="J53" s="8" t="s">
        <v>36</v>
      </c>
      <c r="K53">
        <v>640.024</v>
      </c>
      <c r="L53">
        <v>914.32</v>
      </c>
      <c r="M53" t="s">
        <v>575</v>
      </c>
    </row>
    <row r="54" spans="1:13" x14ac:dyDescent="0.3">
      <c r="A54" s="8" t="s">
        <v>629</v>
      </c>
      <c r="B54" s="8" t="s">
        <v>269</v>
      </c>
      <c r="C54" s="8" t="s">
        <v>270</v>
      </c>
      <c r="D54" s="1">
        <v>45922</v>
      </c>
      <c r="E54" s="8" t="s">
        <v>166</v>
      </c>
      <c r="F54" s="8" t="s">
        <v>27</v>
      </c>
      <c r="G54">
        <v>3</v>
      </c>
      <c r="H54">
        <v>233.11</v>
      </c>
      <c r="I54" s="8" t="s">
        <v>35</v>
      </c>
      <c r="J54" s="8" t="s">
        <v>69</v>
      </c>
      <c r="K54">
        <v>699.33</v>
      </c>
      <c r="L54">
        <v>699.33</v>
      </c>
      <c r="M54" t="s">
        <v>573</v>
      </c>
    </row>
    <row r="55" spans="1:13" x14ac:dyDescent="0.3">
      <c r="A55" s="8" t="s">
        <v>630</v>
      </c>
      <c r="B55" s="8" t="s">
        <v>274</v>
      </c>
      <c r="C55" s="8" t="s">
        <v>275</v>
      </c>
      <c r="D55" s="1">
        <v>45854</v>
      </c>
      <c r="E55" s="8" t="s">
        <v>132</v>
      </c>
      <c r="F55" s="8" t="s">
        <v>41</v>
      </c>
      <c r="G55">
        <v>4</v>
      </c>
      <c r="H55">
        <v>278.89999999999998</v>
      </c>
      <c r="I55" s="8" t="s">
        <v>28</v>
      </c>
      <c r="J55" s="8" t="s">
        <v>36</v>
      </c>
      <c r="K55">
        <v>1115.5999999999999</v>
      </c>
      <c r="L55">
        <v>1115.5999999999999</v>
      </c>
      <c r="M55" t="s">
        <v>573</v>
      </c>
    </row>
    <row r="56" spans="1:13" x14ac:dyDescent="0.3">
      <c r="A56" s="8" t="s">
        <v>631</v>
      </c>
      <c r="B56" s="8" t="s">
        <v>279</v>
      </c>
      <c r="C56" s="8" t="s">
        <v>280</v>
      </c>
      <c r="D56" s="1">
        <v>45709</v>
      </c>
      <c r="E56" s="8" t="s">
        <v>26</v>
      </c>
      <c r="F56" s="8" t="s">
        <v>27</v>
      </c>
      <c r="G56">
        <v>5</v>
      </c>
      <c r="H56">
        <v>789.64</v>
      </c>
      <c r="I56" s="8" t="s">
        <v>28</v>
      </c>
      <c r="J56" s="8" t="s">
        <v>60</v>
      </c>
      <c r="K56">
        <v>3948.2</v>
      </c>
      <c r="L56">
        <v>3948.2</v>
      </c>
      <c r="M56" t="s">
        <v>573</v>
      </c>
    </row>
    <row r="57" spans="1:13" x14ac:dyDescent="0.3">
      <c r="A57" s="8" t="s">
        <v>632</v>
      </c>
      <c r="B57" s="8" t="s">
        <v>284</v>
      </c>
      <c r="C57" s="8" t="s">
        <v>285</v>
      </c>
      <c r="D57" s="1">
        <v>45778</v>
      </c>
      <c r="E57" s="8" t="s">
        <v>94</v>
      </c>
      <c r="F57" s="8" t="s">
        <v>95</v>
      </c>
      <c r="G57">
        <v>1</v>
      </c>
      <c r="H57">
        <v>40.950000000000003</v>
      </c>
      <c r="I57" s="8" t="s">
        <v>35</v>
      </c>
      <c r="J57" s="8" t="s">
        <v>69</v>
      </c>
      <c r="K57">
        <v>40.950000000000003</v>
      </c>
      <c r="L57">
        <v>40.950000000000003</v>
      </c>
      <c r="M57" t="s">
        <v>573</v>
      </c>
    </row>
    <row r="58" spans="1:13" x14ac:dyDescent="0.3">
      <c r="A58" s="8" t="s">
        <v>633</v>
      </c>
      <c r="B58" s="8" t="s">
        <v>288</v>
      </c>
      <c r="C58" s="8" t="s">
        <v>289</v>
      </c>
      <c r="D58" s="1">
        <v>45624</v>
      </c>
      <c r="E58" s="8" t="s">
        <v>291</v>
      </c>
      <c r="F58" s="8" t="s">
        <v>95</v>
      </c>
      <c r="G58">
        <v>2</v>
      </c>
      <c r="I58" s="8" t="s">
        <v>65</v>
      </c>
      <c r="J58" s="8" t="s">
        <v>29</v>
      </c>
      <c r="M58" t="s">
        <v>574</v>
      </c>
    </row>
    <row r="59" spans="1:13" x14ac:dyDescent="0.3">
      <c r="A59" s="8" t="s">
        <v>634</v>
      </c>
      <c r="B59" s="8" t="s">
        <v>292</v>
      </c>
      <c r="C59" s="8" t="s">
        <v>293</v>
      </c>
      <c r="D59" s="1">
        <v>45967</v>
      </c>
      <c r="E59" s="8" t="s">
        <v>249</v>
      </c>
      <c r="F59" s="8" t="s">
        <v>95</v>
      </c>
      <c r="G59">
        <v>4</v>
      </c>
      <c r="H59">
        <v>275.10000000000002</v>
      </c>
      <c r="I59" s="8" t="s">
        <v>65</v>
      </c>
      <c r="J59" s="8" t="s">
        <v>36</v>
      </c>
      <c r="K59">
        <v>1100.4000000000001</v>
      </c>
      <c r="L59">
        <v>1100.4000000000001</v>
      </c>
      <c r="M59" t="s">
        <v>573</v>
      </c>
    </row>
    <row r="60" spans="1:13" x14ac:dyDescent="0.3">
      <c r="A60" s="8" t="s">
        <v>635</v>
      </c>
      <c r="B60" s="8" t="s">
        <v>296</v>
      </c>
      <c r="C60" s="8" t="s">
        <v>297</v>
      </c>
      <c r="D60" s="1">
        <v>45752</v>
      </c>
      <c r="E60" s="8" t="s">
        <v>197</v>
      </c>
      <c r="F60" s="8" t="s">
        <v>33</v>
      </c>
      <c r="G60">
        <v>1</v>
      </c>
      <c r="H60">
        <v>933.58</v>
      </c>
      <c r="I60" s="8" t="s">
        <v>28</v>
      </c>
      <c r="J60" s="8" t="s">
        <v>29</v>
      </c>
      <c r="K60">
        <v>933.58</v>
      </c>
      <c r="L60">
        <v>933.58</v>
      </c>
      <c r="M60" t="s">
        <v>573</v>
      </c>
    </row>
    <row r="61" spans="1:13" x14ac:dyDescent="0.3">
      <c r="A61" s="8" t="s">
        <v>636</v>
      </c>
      <c r="B61" s="8" t="s">
        <v>299</v>
      </c>
      <c r="C61" s="8" t="s">
        <v>300</v>
      </c>
      <c r="D61" s="1">
        <v>45866</v>
      </c>
      <c r="E61" s="8" t="s">
        <v>115</v>
      </c>
      <c r="F61" s="8" t="s">
        <v>27</v>
      </c>
      <c r="G61">
        <v>3</v>
      </c>
      <c r="H61">
        <v>163.16</v>
      </c>
      <c r="I61" s="8" t="s">
        <v>35</v>
      </c>
      <c r="J61" s="8" t="s">
        <v>29</v>
      </c>
      <c r="K61">
        <v>489.48</v>
      </c>
      <c r="L61">
        <v>489.48</v>
      </c>
      <c r="M61" t="s">
        <v>573</v>
      </c>
    </row>
    <row r="62" spans="1:13" x14ac:dyDescent="0.3">
      <c r="A62" s="8" t="s">
        <v>637</v>
      </c>
      <c r="B62" s="8" t="s">
        <v>304</v>
      </c>
      <c r="C62" s="8" t="s">
        <v>305</v>
      </c>
      <c r="D62" s="1">
        <v>45660</v>
      </c>
      <c r="E62" s="8" t="s">
        <v>47</v>
      </c>
      <c r="F62" s="8" t="s">
        <v>48</v>
      </c>
      <c r="G62">
        <v>5</v>
      </c>
      <c r="H62">
        <v>242.52</v>
      </c>
      <c r="I62" s="8" t="s">
        <v>28</v>
      </c>
      <c r="J62" s="8" t="s">
        <v>69</v>
      </c>
      <c r="K62">
        <v>1212.5999999999999</v>
      </c>
      <c r="L62">
        <v>1212.6000000000001</v>
      </c>
      <c r="M62" t="s">
        <v>573</v>
      </c>
    </row>
    <row r="63" spans="1:13" x14ac:dyDescent="0.3">
      <c r="A63" s="8" t="s">
        <v>638</v>
      </c>
      <c r="B63" s="8" t="s">
        <v>308</v>
      </c>
      <c r="C63" s="8" t="s">
        <v>309</v>
      </c>
      <c r="D63" s="1">
        <v>45641</v>
      </c>
      <c r="E63" s="8" t="s">
        <v>47</v>
      </c>
      <c r="F63" s="8" t="s">
        <v>48</v>
      </c>
      <c r="G63">
        <v>4</v>
      </c>
      <c r="H63">
        <v>209.32</v>
      </c>
      <c r="I63" s="8" t="s">
        <v>65</v>
      </c>
      <c r="J63" s="8" t="s">
        <v>29</v>
      </c>
      <c r="K63">
        <v>837.28</v>
      </c>
      <c r="L63">
        <v>837.28</v>
      </c>
      <c r="M63" t="s">
        <v>573</v>
      </c>
    </row>
    <row r="64" spans="1:13" x14ac:dyDescent="0.3">
      <c r="A64" s="8" t="s">
        <v>639</v>
      </c>
      <c r="B64" s="8" t="s">
        <v>313</v>
      </c>
      <c r="C64" s="8" t="s">
        <v>314</v>
      </c>
      <c r="D64" s="1">
        <v>45796</v>
      </c>
      <c r="E64" s="8" t="s">
        <v>26</v>
      </c>
      <c r="F64" s="8" t="s">
        <v>27</v>
      </c>
      <c r="G64">
        <v>2</v>
      </c>
      <c r="H64">
        <v>155.76</v>
      </c>
      <c r="I64" s="8" t="s">
        <v>78</v>
      </c>
      <c r="J64" s="8" t="s">
        <v>69</v>
      </c>
      <c r="K64">
        <v>311.52</v>
      </c>
      <c r="L64">
        <v>311.52</v>
      </c>
      <c r="M64" t="s">
        <v>573</v>
      </c>
    </row>
    <row r="65" spans="1:13" x14ac:dyDescent="0.3">
      <c r="A65" s="8" t="s">
        <v>640</v>
      </c>
      <c r="B65" s="8" t="s">
        <v>318</v>
      </c>
      <c r="C65" s="8" t="s">
        <v>319</v>
      </c>
      <c r="D65" s="1">
        <v>44931</v>
      </c>
      <c r="E65" s="8" t="s">
        <v>197</v>
      </c>
      <c r="F65" s="8" t="s">
        <v>33</v>
      </c>
      <c r="G65">
        <v>3</v>
      </c>
      <c r="H65">
        <v>235.26</v>
      </c>
      <c r="I65" s="8" t="s">
        <v>28</v>
      </c>
      <c r="J65" s="8" t="s">
        <v>29</v>
      </c>
      <c r="K65">
        <v>705.78</v>
      </c>
      <c r="L65">
        <v>705.78</v>
      </c>
      <c r="M65" t="s">
        <v>573</v>
      </c>
    </row>
    <row r="66" spans="1:13" x14ac:dyDescent="0.3">
      <c r="A66" s="8" t="s">
        <v>641</v>
      </c>
      <c r="B66" s="8" t="s">
        <v>322</v>
      </c>
      <c r="C66" s="8" t="s">
        <v>323</v>
      </c>
      <c r="D66" s="1">
        <v>45697</v>
      </c>
      <c r="E66" s="8" t="s">
        <v>40</v>
      </c>
      <c r="F66" s="8" t="s">
        <v>41</v>
      </c>
      <c r="H66">
        <v>587.64</v>
      </c>
      <c r="I66" s="8" t="s">
        <v>78</v>
      </c>
      <c r="J66" s="8" t="s">
        <v>69</v>
      </c>
      <c r="M66" t="s">
        <v>574</v>
      </c>
    </row>
    <row r="67" spans="1:13" x14ac:dyDescent="0.3">
      <c r="A67" s="8" t="s">
        <v>642</v>
      </c>
      <c r="B67" s="8" t="s">
        <v>325</v>
      </c>
      <c r="C67" s="8" t="s">
        <v>326</v>
      </c>
      <c r="D67" s="1">
        <v>45604</v>
      </c>
      <c r="E67" s="8" t="s">
        <v>94</v>
      </c>
      <c r="F67" s="8" t="s">
        <v>95</v>
      </c>
      <c r="G67">
        <v>2</v>
      </c>
      <c r="H67">
        <v>443.13</v>
      </c>
      <c r="I67" s="8" t="s">
        <v>78</v>
      </c>
      <c r="J67" s="8" t="s">
        <v>43</v>
      </c>
      <c r="K67">
        <v>886.26</v>
      </c>
      <c r="L67">
        <v>886.26</v>
      </c>
      <c r="M67" t="s">
        <v>573</v>
      </c>
    </row>
    <row r="68" spans="1:13" x14ac:dyDescent="0.3">
      <c r="A68" s="8" t="s">
        <v>643</v>
      </c>
      <c r="B68" s="8" t="s">
        <v>329</v>
      </c>
      <c r="C68" s="8" t="s">
        <v>330</v>
      </c>
      <c r="D68" s="1">
        <v>45841</v>
      </c>
      <c r="E68" s="8" t="s">
        <v>613</v>
      </c>
      <c r="F68" s="8" t="s">
        <v>33</v>
      </c>
      <c r="G68">
        <v>2</v>
      </c>
      <c r="H68">
        <v>569.38</v>
      </c>
      <c r="I68" s="8" t="s">
        <v>28</v>
      </c>
      <c r="J68" s="8" t="s">
        <v>29</v>
      </c>
      <c r="K68">
        <v>1138.76</v>
      </c>
      <c r="L68">
        <v>1138.76</v>
      </c>
      <c r="M68" t="s">
        <v>573</v>
      </c>
    </row>
    <row r="69" spans="1:13" x14ac:dyDescent="0.3">
      <c r="A69" s="8" t="s">
        <v>644</v>
      </c>
      <c r="B69" s="8" t="s">
        <v>333</v>
      </c>
      <c r="C69" s="8" t="s">
        <v>334</v>
      </c>
      <c r="D69" s="1">
        <v>45876</v>
      </c>
      <c r="E69" s="8" t="s">
        <v>83</v>
      </c>
      <c r="F69" s="8" t="s">
        <v>41</v>
      </c>
      <c r="H69">
        <v>593.92999999999995</v>
      </c>
      <c r="I69" s="8" t="s">
        <v>28</v>
      </c>
      <c r="J69" s="8" t="s">
        <v>36</v>
      </c>
      <c r="M69" t="s">
        <v>574</v>
      </c>
    </row>
    <row r="70" spans="1:13" x14ac:dyDescent="0.3">
      <c r="A70" s="8" t="s">
        <v>645</v>
      </c>
      <c r="B70" s="8" t="s">
        <v>336</v>
      </c>
      <c r="C70" s="8" t="s">
        <v>337</v>
      </c>
      <c r="D70" s="1">
        <v>45965</v>
      </c>
      <c r="E70" s="8" t="s">
        <v>54</v>
      </c>
      <c r="F70" s="8" t="s">
        <v>48</v>
      </c>
      <c r="G70">
        <v>2</v>
      </c>
      <c r="H70">
        <v>141.49</v>
      </c>
      <c r="I70" s="8" t="s">
        <v>35</v>
      </c>
      <c r="J70" s="8" t="s">
        <v>60</v>
      </c>
      <c r="K70">
        <v>282.98</v>
      </c>
      <c r="L70">
        <v>282.98</v>
      </c>
      <c r="M70" t="s">
        <v>573</v>
      </c>
    </row>
    <row r="71" spans="1:13" x14ac:dyDescent="0.3">
      <c r="A71" s="8" t="s">
        <v>646</v>
      </c>
      <c r="B71" s="8" t="s">
        <v>340</v>
      </c>
      <c r="C71" s="8" t="s">
        <v>341</v>
      </c>
      <c r="D71" s="1">
        <v>45881</v>
      </c>
      <c r="E71" s="8" t="s">
        <v>83</v>
      </c>
      <c r="F71" s="8" t="s">
        <v>41</v>
      </c>
      <c r="G71">
        <v>1</v>
      </c>
      <c r="H71">
        <v>582.13</v>
      </c>
      <c r="I71" s="8" t="s">
        <v>78</v>
      </c>
      <c r="J71" s="8" t="s">
        <v>69</v>
      </c>
      <c r="K71">
        <v>582.13</v>
      </c>
      <c r="L71">
        <v>582.13</v>
      </c>
      <c r="M71" t="s">
        <v>573</v>
      </c>
    </row>
    <row r="72" spans="1:13" x14ac:dyDescent="0.3">
      <c r="A72" s="8" t="s">
        <v>647</v>
      </c>
      <c r="B72" s="8" t="s">
        <v>343</v>
      </c>
      <c r="C72" s="8" t="s">
        <v>344</v>
      </c>
      <c r="D72" s="1">
        <v>45933</v>
      </c>
      <c r="E72" s="8" t="s">
        <v>291</v>
      </c>
      <c r="F72" s="8" t="s">
        <v>95</v>
      </c>
      <c r="G72">
        <v>5</v>
      </c>
      <c r="H72">
        <v>741.63</v>
      </c>
      <c r="I72" s="8" t="s">
        <v>65</v>
      </c>
      <c r="J72" s="8" t="s">
        <v>36</v>
      </c>
      <c r="K72">
        <v>3708.15</v>
      </c>
      <c r="L72">
        <v>3708.15</v>
      </c>
      <c r="M72" t="s">
        <v>573</v>
      </c>
    </row>
    <row r="73" spans="1:13" x14ac:dyDescent="0.3">
      <c r="A73" s="8" t="s">
        <v>648</v>
      </c>
      <c r="B73" s="8" t="s">
        <v>347</v>
      </c>
      <c r="C73" s="8" t="s">
        <v>348</v>
      </c>
      <c r="D73" s="1">
        <v>45632</v>
      </c>
      <c r="E73" s="8" t="s">
        <v>94</v>
      </c>
      <c r="F73" s="8" t="s">
        <v>95</v>
      </c>
      <c r="G73">
        <v>3</v>
      </c>
      <c r="H73">
        <v>688.68</v>
      </c>
      <c r="I73" s="8" t="s">
        <v>35</v>
      </c>
      <c r="J73" s="8" t="s">
        <v>36</v>
      </c>
      <c r="K73">
        <v>2066.04</v>
      </c>
      <c r="L73">
        <v>2066.04</v>
      </c>
      <c r="M73" t="s">
        <v>573</v>
      </c>
    </row>
    <row r="74" spans="1:13" x14ac:dyDescent="0.3">
      <c r="A74" s="8" t="s">
        <v>649</v>
      </c>
      <c r="B74" s="8" t="s">
        <v>351</v>
      </c>
      <c r="C74" s="8" t="s">
        <v>352</v>
      </c>
      <c r="D74" s="1">
        <v>45614</v>
      </c>
      <c r="E74" s="8" t="s">
        <v>89</v>
      </c>
      <c r="F74" s="8" t="s">
        <v>48</v>
      </c>
      <c r="G74">
        <v>2</v>
      </c>
      <c r="H74">
        <v>942.76</v>
      </c>
      <c r="I74" s="8" t="s">
        <v>65</v>
      </c>
      <c r="J74" s="8" t="s">
        <v>69</v>
      </c>
      <c r="K74">
        <v>1885.52</v>
      </c>
      <c r="L74">
        <v>1885.52</v>
      </c>
      <c r="M74" t="s">
        <v>573</v>
      </c>
    </row>
    <row r="75" spans="1:13" x14ac:dyDescent="0.3">
      <c r="A75" s="8" t="s">
        <v>650</v>
      </c>
      <c r="B75" s="8" t="s">
        <v>356</v>
      </c>
      <c r="C75" s="8" t="s">
        <v>357</v>
      </c>
      <c r="D75" s="1">
        <v>45941</v>
      </c>
      <c r="E75" s="8" t="s">
        <v>166</v>
      </c>
      <c r="F75" s="8" t="s">
        <v>27</v>
      </c>
      <c r="G75">
        <v>5</v>
      </c>
      <c r="H75">
        <v>351.89</v>
      </c>
      <c r="I75" s="8" t="s">
        <v>78</v>
      </c>
      <c r="J75" s="8" t="s">
        <v>29</v>
      </c>
      <c r="K75">
        <v>1759.45</v>
      </c>
      <c r="L75">
        <v>1759.4499999999998</v>
      </c>
      <c r="M75" t="s">
        <v>573</v>
      </c>
    </row>
    <row r="76" spans="1:13" x14ac:dyDescent="0.3">
      <c r="A76" s="8" t="s">
        <v>651</v>
      </c>
      <c r="B76" s="8" t="s">
        <v>360</v>
      </c>
      <c r="C76" s="8" t="s">
        <v>361</v>
      </c>
      <c r="D76" s="1">
        <v>45920</v>
      </c>
      <c r="E76" s="8" t="s">
        <v>115</v>
      </c>
      <c r="F76" s="8" t="s">
        <v>33</v>
      </c>
      <c r="G76">
        <v>4</v>
      </c>
      <c r="H76">
        <v>187.48</v>
      </c>
      <c r="I76" s="8" t="s">
        <v>78</v>
      </c>
      <c r="J76" s="8" t="s">
        <v>69</v>
      </c>
      <c r="K76">
        <v>749.92</v>
      </c>
      <c r="L76">
        <v>749.92</v>
      </c>
      <c r="M76" t="s">
        <v>573</v>
      </c>
    </row>
    <row r="77" spans="1:13" x14ac:dyDescent="0.3">
      <c r="A77" s="8" t="s">
        <v>652</v>
      </c>
      <c r="B77" s="8" t="s">
        <v>365</v>
      </c>
      <c r="C77" s="8" t="s">
        <v>366</v>
      </c>
      <c r="D77" s="1">
        <v>45712</v>
      </c>
      <c r="E77" s="8" t="s">
        <v>202</v>
      </c>
      <c r="F77" s="8" t="s">
        <v>33</v>
      </c>
      <c r="G77">
        <v>1</v>
      </c>
      <c r="H77">
        <v>111.36</v>
      </c>
      <c r="I77" s="8" t="s">
        <v>78</v>
      </c>
      <c r="J77" s="8" t="s">
        <v>36</v>
      </c>
      <c r="K77">
        <v>111.36</v>
      </c>
      <c r="L77">
        <v>111.36</v>
      </c>
      <c r="M77" t="s">
        <v>573</v>
      </c>
    </row>
    <row r="78" spans="1:13" x14ac:dyDescent="0.3">
      <c r="A78" s="8" t="s">
        <v>653</v>
      </c>
      <c r="B78" s="8" t="s">
        <v>369</v>
      </c>
      <c r="C78" s="8" t="s">
        <v>370</v>
      </c>
      <c r="D78" s="1">
        <v>45860</v>
      </c>
      <c r="E78" s="8" t="s">
        <v>89</v>
      </c>
      <c r="F78" s="8" t="s">
        <v>48</v>
      </c>
      <c r="G78">
        <v>5</v>
      </c>
      <c r="H78">
        <v>530.52</v>
      </c>
      <c r="I78" s="8" t="s">
        <v>28</v>
      </c>
      <c r="J78" s="8" t="s">
        <v>29</v>
      </c>
      <c r="K78">
        <v>2652.6</v>
      </c>
      <c r="L78">
        <v>2652.6</v>
      </c>
      <c r="M78" t="s">
        <v>573</v>
      </c>
    </row>
    <row r="79" spans="1:13" x14ac:dyDescent="0.3">
      <c r="A79" s="8" t="s">
        <v>654</v>
      </c>
      <c r="B79" s="8" t="s">
        <v>374</v>
      </c>
      <c r="C79" s="8" t="s">
        <v>375</v>
      </c>
      <c r="D79" s="1">
        <v>45866</v>
      </c>
      <c r="E79" s="8" t="s">
        <v>240</v>
      </c>
      <c r="F79" s="8" t="s">
        <v>33</v>
      </c>
      <c r="G79">
        <v>1</v>
      </c>
      <c r="H79">
        <v>69.48</v>
      </c>
      <c r="I79" s="8" t="s">
        <v>65</v>
      </c>
      <c r="J79" s="8" t="s">
        <v>69</v>
      </c>
      <c r="K79">
        <v>69.48</v>
      </c>
      <c r="L79">
        <v>69.48</v>
      </c>
      <c r="M79" t="s">
        <v>573</v>
      </c>
    </row>
    <row r="80" spans="1:13" x14ac:dyDescent="0.3">
      <c r="A80" s="8" t="s">
        <v>655</v>
      </c>
      <c r="B80" s="8" t="s">
        <v>377</v>
      </c>
      <c r="C80" s="8" t="s">
        <v>378</v>
      </c>
      <c r="D80" s="1">
        <v>45918</v>
      </c>
      <c r="E80" s="8" t="s">
        <v>40</v>
      </c>
      <c r="F80" s="8" t="s">
        <v>41</v>
      </c>
      <c r="G80">
        <v>3</v>
      </c>
      <c r="H80">
        <v>472.14</v>
      </c>
      <c r="I80" s="8" t="s">
        <v>35</v>
      </c>
      <c r="J80" s="8" t="s">
        <v>69</v>
      </c>
      <c r="K80">
        <v>1416.42</v>
      </c>
      <c r="L80">
        <v>1416.42</v>
      </c>
      <c r="M80" t="s">
        <v>573</v>
      </c>
    </row>
    <row r="81" spans="1:13" x14ac:dyDescent="0.3">
      <c r="A81" s="8" t="s">
        <v>656</v>
      </c>
      <c r="B81" s="8" t="s">
        <v>382</v>
      </c>
      <c r="C81" s="8" t="s">
        <v>383</v>
      </c>
      <c r="D81" s="1">
        <v>45903</v>
      </c>
      <c r="E81" s="8" t="s">
        <v>132</v>
      </c>
      <c r="F81" s="8" t="s">
        <v>41</v>
      </c>
      <c r="G81">
        <v>3</v>
      </c>
      <c r="H81">
        <v>868.67</v>
      </c>
      <c r="I81" s="8" t="s">
        <v>35</v>
      </c>
      <c r="J81" s="8" t="s">
        <v>43</v>
      </c>
      <c r="K81">
        <v>2606.0100000000002</v>
      </c>
      <c r="L81">
        <v>2606.0099999999998</v>
      </c>
      <c r="M81" t="s">
        <v>573</v>
      </c>
    </row>
    <row r="82" spans="1:13" x14ac:dyDescent="0.3">
      <c r="A82" s="8" t="s">
        <v>657</v>
      </c>
      <c r="B82" s="8" t="s">
        <v>386</v>
      </c>
      <c r="C82" s="8" t="s">
        <v>387</v>
      </c>
      <c r="D82" s="1">
        <v>45742</v>
      </c>
      <c r="E82" s="8" t="s">
        <v>240</v>
      </c>
      <c r="F82" s="8" t="s">
        <v>474</v>
      </c>
      <c r="G82">
        <v>2</v>
      </c>
      <c r="H82">
        <v>418.38</v>
      </c>
      <c r="I82" s="8" t="s">
        <v>78</v>
      </c>
      <c r="J82" s="8" t="s">
        <v>36</v>
      </c>
      <c r="K82">
        <v>836.76</v>
      </c>
      <c r="L82">
        <v>836.76</v>
      </c>
      <c r="M82" t="s">
        <v>573</v>
      </c>
    </row>
    <row r="83" spans="1:13" x14ac:dyDescent="0.3">
      <c r="A83" s="8" t="s">
        <v>658</v>
      </c>
      <c r="B83" s="8" t="s">
        <v>391</v>
      </c>
      <c r="C83" s="8" t="s">
        <v>392</v>
      </c>
      <c r="D83" s="1">
        <v>45655</v>
      </c>
      <c r="E83" s="8" t="s">
        <v>32</v>
      </c>
      <c r="F83" s="8"/>
      <c r="G83">
        <v>1</v>
      </c>
      <c r="H83">
        <v>266.48</v>
      </c>
      <c r="I83" s="8" t="s">
        <v>28</v>
      </c>
      <c r="J83" s="8" t="s">
        <v>60</v>
      </c>
      <c r="K83">
        <v>266.48</v>
      </c>
      <c r="L83">
        <v>266.48</v>
      </c>
      <c r="M83" t="s">
        <v>573</v>
      </c>
    </row>
    <row r="84" spans="1:13" x14ac:dyDescent="0.3">
      <c r="A84" s="8" t="s">
        <v>659</v>
      </c>
      <c r="B84" s="8" t="s">
        <v>395</v>
      </c>
      <c r="C84" s="8" t="s">
        <v>396</v>
      </c>
      <c r="D84" s="1">
        <v>45872</v>
      </c>
      <c r="E84" s="8" t="s">
        <v>94</v>
      </c>
      <c r="F84" s="8" t="s">
        <v>474</v>
      </c>
      <c r="G84">
        <v>4</v>
      </c>
      <c r="H84">
        <v>538.35</v>
      </c>
      <c r="I84" s="8" t="s">
        <v>35</v>
      </c>
      <c r="J84" s="8" t="s">
        <v>36</v>
      </c>
      <c r="K84">
        <v>2153.4</v>
      </c>
      <c r="L84">
        <v>2153.4</v>
      </c>
      <c r="M84" t="s">
        <v>573</v>
      </c>
    </row>
    <row r="85" spans="1:13" x14ac:dyDescent="0.3">
      <c r="A85" s="8" t="s">
        <v>660</v>
      </c>
      <c r="B85" s="8" t="s">
        <v>399</v>
      </c>
      <c r="C85" s="8" t="s">
        <v>400</v>
      </c>
      <c r="D85" s="1">
        <v>45726</v>
      </c>
      <c r="E85" s="8" t="s">
        <v>94</v>
      </c>
      <c r="F85" s="8" t="s">
        <v>95</v>
      </c>
      <c r="G85">
        <v>5</v>
      </c>
      <c r="I85" s="8" t="s">
        <v>28</v>
      </c>
      <c r="J85" s="8" t="s">
        <v>69</v>
      </c>
      <c r="M85" t="s">
        <v>574</v>
      </c>
    </row>
    <row r="86" spans="1:13" x14ac:dyDescent="0.3">
      <c r="A86" s="8" t="s">
        <v>661</v>
      </c>
      <c r="B86" s="8" t="s">
        <v>401</v>
      </c>
      <c r="C86" s="8" t="s">
        <v>402</v>
      </c>
      <c r="D86" s="1">
        <v>45703</v>
      </c>
      <c r="E86" s="8" t="s">
        <v>291</v>
      </c>
      <c r="F86" s="8" t="s">
        <v>474</v>
      </c>
      <c r="G86">
        <v>4</v>
      </c>
      <c r="H86">
        <v>101.19</v>
      </c>
      <c r="I86" s="8" t="s">
        <v>65</v>
      </c>
      <c r="J86" s="8" t="s">
        <v>36</v>
      </c>
      <c r="K86">
        <v>404.76</v>
      </c>
      <c r="L86">
        <v>404.76</v>
      </c>
      <c r="M86" t="s">
        <v>573</v>
      </c>
    </row>
    <row r="87" spans="1:13" x14ac:dyDescent="0.3">
      <c r="A87" s="8" t="s">
        <v>662</v>
      </c>
      <c r="B87" s="8" t="s">
        <v>406</v>
      </c>
      <c r="C87" s="8" t="s">
        <v>407</v>
      </c>
      <c r="D87" s="1">
        <v>45883</v>
      </c>
      <c r="E87" s="8" t="s">
        <v>235</v>
      </c>
      <c r="F87" s="8" t="s">
        <v>41</v>
      </c>
      <c r="G87">
        <v>2</v>
      </c>
      <c r="H87">
        <v>730.92</v>
      </c>
      <c r="I87" s="8" t="s">
        <v>28</v>
      </c>
      <c r="J87" s="8" t="s">
        <v>60</v>
      </c>
      <c r="K87">
        <v>1023.288</v>
      </c>
      <c r="L87">
        <v>1461.84</v>
      </c>
      <c r="M87" t="s">
        <v>575</v>
      </c>
    </row>
    <row r="88" spans="1:13" x14ac:dyDescent="0.3">
      <c r="A88" s="8" t="s">
        <v>663</v>
      </c>
      <c r="B88" s="8" t="s">
        <v>411</v>
      </c>
      <c r="C88" s="8" t="s">
        <v>412</v>
      </c>
      <c r="D88" s="1">
        <v>45936</v>
      </c>
      <c r="E88" s="8" t="s">
        <v>240</v>
      </c>
      <c r="F88" s="8" t="s">
        <v>33</v>
      </c>
      <c r="G88">
        <v>1</v>
      </c>
      <c r="H88">
        <v>365.34</v>
      </c>
      <c r="I88" s="8" t="s">
        <v>65</v>
      </c>
      <c r="J88" s="8" t="s">
        <v>43</v>
      </c>
      <c r="K88">
        <v>365.34</v>
      </c>
      <c r="L88">
        <v>365.34</v>
      </c>
      <c r="M88" t="s">
        <v>573</v>
      </c>
    </row>
    <row r="89" spans="1:13" x14ac:dyDescent="0.3">
      <c r="A89" s="8" t="s">
        <v>664</v>
      </c>
      <c r="B89" s="8" t="s">
        <v>414</v>
      </c>
      <c r="C89" s="8" t="s">
        <v>415</v>
      </c>
      <c r="D89" s="1">
        <v>45615</v>
      </c>
      <c r="E89" s="8" t="s">
        <v>32</v>
      </c>
      <c r="F89" s="8" t="s">
        <v>33</v>
      </c>
      <c r="G89">
        <v>3</v>
      </c>
      <c r="H89">
        <v>882.96</v>
      </c>
      <c r="I89" s="8" t="s">
        <v>65</v>
      </c>
      <c r="J89" s="8" t="s">
        <v>69</v>
      </c>
      <c r="K89">
        <v>2648.88</v>
      </c>
      <c r="L89">
        <v>2648.88</v>
      </c>
      <c r="M89" t="s">
        <v>573</v>
      </c>
    </row>
    <row r="90" spans="1:13" x14ac:dyDescent="0.3">
      <c r="A90" s="8" t="s">
        <v>665</v>
      </c>
      <c r="B90" s="8" t="s">
        <v>419</v>
      </c>
      <c r="C90" s="8" t="s">
        <v>420</v>
      </c>
      <c r="D90" s="1">
        <v>45615</v>
      </c>
      <c r="E90" s="8" t="s">
        <v>115</v>
      </c>
      <c r="F90" s="8" t="s">
        <v>27</v>
      </c>
      <c r="G90">
        <v>5</v>
      </c>
      <c r="H90">
        <v>504.05</v>
      </c>
      <c r="I90" s="8" t="s">
        <v>28</v>
      </c>
      <c r="J90" s="8" t="s">
        <v>29</v>
      </c>
      <c r="K90">
        <v>2520.25</v>
      </c>
      <c r="L90">
        <v>2520.25</v>
      </c>
      <c r="M90" t="s">
        <v>573</v>
      </c>
    </row>
    <row r="91" spans="1:13" x14ac:dyDescent="0.3">
      <c r="A91" s="8" t="s">
        <v>666</v>
      </c>
      <c r="B91" s="8" t="s">
        <v>423</v>
      </c>
      <c r="C91" s="8" t="s">
        <v>424</v>
      </c>
      <c r="D91" s="1">
        <v>45883</v>
      </c>
      <c r="E91" s="8" t="s">
        <v>166</v>
      </c>
      <c r="F91" s="8" t="s">
        <v>27</v>
      </c>
      <c r="G91">
        <v>1</v>
      </c>
      <c r="H91">
        <v>814.68</v>
      </c>
      <c r="I91" s="8" t="s">
        <v>28</v>
      </c>
      <c r="J91" s="8" t="s">
        <v>69</v>
      </c>
      <c r="K91">
        <v>814.68</v>
      </c>
      <c r="L91">
        <v>814.68</v>
      </c>
      <c r="M91" t="s">
        <v>573</v>
      </c>
    </row>
    <row r="92" spans="1:13" x14ac:dyDescent="0.3">
      <c r="A92" s="8" t="s">
        <v>667</v>
      </c>
      <c r="B92" s="8" t="s">
        <v>426</v>
      </c>
      <c r="C92" s="8" t="s">
        <v>427</v>
      </c>
      <c r="D92" s="1">
        <v>45837</v>
      </c>
      <c r="E92" s="8" t="s">
        <v>146</v>
      </c>
      <c r="F92" s="8" t="s">
        <v>27</v>
      </c>
      <c r="G92">
        <v>1</v>
      </c>
      <c r="H92">
        <v>920.37</v>
      </c>
      <c r="I92" s="8" t="s">
        <v>65</v>
      </c>
      <c r="J92" s="8" t="s">
        <v>36</v>
      </c>
      <c r="K92">
        <v>920.37</v>
      </c>
      <c r="L92">
        <v>920.37</v>
      </c>
      <c r="M92" t="s">
        <v>573</v>
      </c>
    </row>
    <row r="93" spans="1:13" x14ac:dyDescent="0.3">
      <c r="A93" s="8" t="s">
        <v>668</v>
      </c>
      <c r="B93" s="8" t="s">
        <v>429</v>
      </c>
      <c r="C93" s="8" t="s">
        <v>430</v>
      </c>
      <c r="D93" s="1">
        <v>45856</v>
      </c>
      <c r="E93" s="8" t="s">
        <v>101</v>
      </c>
      <c r="F93" s="8" t="s">
        <v>48</v>
      </c>
      <c r="G93">
        <v>2</v>
      </c>
      <c r="H93">
        <v>881.02</v>
      </c>
      <c r="I93" s="8" t="s">
        <v>28</v>
      </c>
      <c r="J93" s="8" t="s">
        <v>69</v>
      </c>
      <c r="K93">
        <v>1762.04</v>
      </c>
      <c r="L93">
        <v>1762.04</v>
      </c>
      <c r="M93" t="s">
        <v>573</v>
      </c>
    </row>
    <row r="94" spans="1:13" x14ac:dyDescent="0.3">
      <c r="A94" s="8" t="s">
        <v>669</v>
      </c>
      <c r="B94" s="8" t="s">
        <v>434</v>
      </c>
      <c r="C94" s="8" t="s">
        <v>435</v>
      </c>
      <c r="E94" s="8" t="s">
        <v>249</v>
      </c>
      <c r="F94" s="8" t="s">
        <v>95</v>
      </c>
      <c r="H94">
        <v>203.63</v>
      </c>
      <c r="I94" s="8" t="s">
        <v>78</v>
      </c>
      <c r="J94" s="8" t="s">
        <v>69</v>
      </c>
      <c r="M94" t="s">
        <v>574</v>
      </c>
    </row>
    <row r="95" spans="1:13" x14ac:dyDescent="0.3">
      <c r="A95" s="8" t="s">
        <v>670</v>
      </c>
      <c r="B95" s="8" t="s">
        <v>439</v>
      </c>
      <c r="C95" s="8" t="s">
        <v>440</v>
      </c>
      <c r="D95" s="1">
        <v>45814</v>
      </c>
      <c r="E95" s="8" t="s">
        <v>83</v>
      </c>
      <c r="F95" s="8" t="s">
        <v>474</v>
      </c>
      <c r="H95">
        <v>522.02</v>
      </c>
      <c r="I95" s="8" t="s">
        <v>35</v>
      </c>
      <c r="J95" s="8" t="s">
        <v>29</v>
      </c>
      <c r="M95" t="s">
        <v>574</v>
      </c>
    </row>
    <row r="96" spans="1:13" x14ac:dyDescent="0.3">
      <c r="A96" s="8" t="s">
        <v>671</v>
      </c>
      <c r="B96" s="8" t="s">
        <v>442</v>
      </c>
      <c r="C96" s="8" t="s">
        <v>443</v>
      </c>
      <c r="D96" s="1">
        <v>45698</v>
      </c>
      <c r="E96" s="8" t="s">
        <v>166</v>
      </c>
      <c r="F96" s="8" t="s">
        <v>27</v>
      </c>
      <c r="G96">
        <v>5</v>
      </c>
      <c r="H96">
        <v>944.54</v>
      </c>
      <c r="I96" s="8" t="s">
        <v>28</v>
      </c>
      <c r="J96" s="8" t="s">
        <v>69</v>
      </c>
      <c r="K96">
        <v>4722.7</v>
      </c>
      <c r="L96">
        <v>4722.7</v>
      </c>
      <c r="M96" t="s">
        <v>573</v>
      </c>
    </row>
    <row r="97" spans="1:13" x14ac:dyDescent="0.3">
      <c r="A97" s="8" t="s">
        <v>672</v>
      </c>
      <c r="B97" s="8" t="s">
        <v>446</v>
      </c>
      <c r="C97" s="8" t="s">
        <v>447</v>
      </c>
      <c r="D97" s="1">
        <v>45827</v>
      </c>
      <c r="E97" s="8" t="s">
        <v>54</v>
      </c>
      <c r="F97" s="8" t="s">
        <v>48</v>
      </c>
      <c r="G97">
        <v>5</v>
      </c>
      <c r="H97">
        <v>817.46</v>
      </c>
      <c r="I97" s="8" t="s">
        <v>28</v>
      </c>
      <c r="J97" s="8" t="s">
        <v>69</v>
      </c>
      <c r="K97">
        <v>4087.3</v>
      </c>
      <c r="L97">
        <v>4087.3</v>
      </c>
      <c r="M97" t="s">
        <v>573</v>
      </c>
    </row>
    <row r="98" spans="1:13" x14ac:dyDescent="0.3">
      <c r="A98" s="8" t="s">
        <v>673</v>
      </c>
      <c r="B98" s="8" t="s">
        <v>451</v>
      </c>
      <c r="C98" s="8" t="s">
        <v>452</v>
      </c>
      <c r="D98" s="1">
        <v>45649</v>
      </c>
      <c r="E98" s="8" t="s">
        <v>146</v>
      </c>
      <c r="F98" s="8" t="s">
        <v>27</v>
      </c>
      <c r="I98" s="8" t="s">
        <v>35</v>
      </c>
      <c r="J98" s="8" t="s">
        <v>43</v>
      </c>
      <c r="M98" t="s">
        <v>574</v>
      </c>
    </row>
    <row r="99" spans="1:13" x14ac:dyDescent="0.3">
      <c r="A99" s="8" t="s">
        <v>674</v>
      </c>
      <c r="B99" s="8" t="s">
        <v>453</v>
      </c>
      <c r="C99" s="8" t="s">
        <v>454</v>
      </c>
      <c r="D99" s="1">
        <v>45831</v>
      </c>
      <c r="E99" s="8" t="s">
        <v>26</v>
      </c>
      <c r="F99" s="8" t="s">
        <v>27</v>
      </c>
      <c r="G99">
        <v>1</v>
      </c>
      <c r="H99">
        <v>160.16</v>
      </c>
      <c r="I99" s="8" t="s">
        <v>35</v>
      </c>
      <c r="J99" s="8" t="s">
        <v>60</v>
      </c>
      <c r="K99">
        <v>160.16</v>
      </c>
      <c r="L99">
        <v>160.16</v>
      </c>
      <c r="M99" t="s">
        <v>573</v>
      </c>
    </row>
    <row r="100" spans="1:13" x14ac:dyDescent="0.3">
      <c r="A100" s="8" t="s">
        <v>675</v>
      </c>
      <c r="B100" s="8" t="s">
        <v>457</v>
      </c>
      <c r="C100" s="8" t="s">
        <v>458</v>
      </c>
      <c r="D100" s="1">
        <v>45865</v>
      </c>
      <c r="E100" s="8" t="s">
        <v>146</v>
      </c>
      <c r="F100" s="8" t="s">
        <v>474</v>
      </c>
      <c r="G100">
        <v>2</v>
      </c>
      <c r="H100">
        <v>497.01</v>
      </c>
      <c r="I100" s="8" t="s">
        <v>28</v>
      </c>
      <c r="J100" s="8" t="s">
        <v>29</v>
      </c>
      <c r="K100">
        <v>994.02</v>
      </c>
      <c r="L100">
        <v>994.02</v>
      </c>
      <c r="M100" t="s">
        <v>573</v>
      </c>
    </row>
    <row r="101" spans="1:13" x14ac:dyDescent="0.3">
      <c r="A101" s="8" t="s">
        <v>676</v>
      </c>
      <c r="B101" s="8" t="s">
        <v>462</v>
      </c>
      <c r="C101" s="8" t="s">
        <v>463</v>
      </c>
      <c r="D101" s="1">
        <v>45679</v>
      </c>
      <c r="E101" s="8" t="s">
        <v>26</v>
      </c>
      <c r="F101" s="8" t="s">
        <v>27</v>
      </c>
      <c r="G101">
        <v>5</v>
      </c>
      <c r="H101">
        <v>372.28</v>
      </c>
      <c r="I101" s="8" t="s">
        <v>78</v>
      </c>
      <c r="J101" s="8" t="s">
        <v>29</v>
      </c>
      <c r="K101">
        <v>1861.4</v>
      </c>
      <c r="L101">
        <v>1861.3999999999999</v>
      </c>
      <c r="M101" t="s">
        <v>573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53F2A5-4A7F-406C-B51C-ABC39127D2BA}">
  <dimension ref="A1:L101"/>
  <sheetViews>
    <sheetView zoomScaleNormal="100" workbookViewId="0">
      <selection activeCell="O8" sqref="O8"/>
    </sheetView>
  </sheetViews>
  <sheetFormatPr defaultRowHeight="14.4" x14ac:dyDescent="0.3"/>
  <cols>
    <col min="2" max="2" width="16.77734375" customWidth="1"/>
    <col min="3" max="3" width="10.21875" customWidth="1"/>
    <col min="4" max="4" width="12.33203125" customWidth="1"/>
    <col min="5" max="5" width="12.109375" bestFit="1" customWidth="1"/>
    <col min="6" max="6" width="10.21875" customWidth="1"/>
    <col min="7" max="7" width="10" customWidth="1"/>
    <col min="9" max="9" width="17.21875" customWidth="1"/>
    <col min="10" max="10" width="9.88671875" bestFit="1" customWidth="1"/>
    <col min="11" max="11" width="10.77734375" bestFit="1" customWidth="1"/>
    <col min="12" max="12" width="15.33203125" bestFit="1" customWidth="1"/>
  </cols>
  <sheetData>
    <row r="1" spans="1:12" x14ac:dyDescent="0.3">
      <c r="A1" t="s">
        <v>14</v>
      </c>
      <c r="B1" t="s">
        <v>5</v>
      </c>
      <c r="C1" t="s">
        <v>15</v>
      </c>
      <c r="D1" t="s">
        <v>16</v>
      </c>
      <c r="E1" t="s">
        <v>19</v>
      </c>
      <c r="F1" t="s">
        <v>8</v>
      </c>
      <c r="G1" t="s">
        <v>10</v>
      </c>
      <c r="H1" t="s">
        <v>11</v>
      </c>
      <c r="I1" t="s">
        <v>21</v>
      </c>
      <c r="J1" t="s">
        <v>22</v>
      </c>
      <c r="K1" t="s">
        <v>12</v>
      </c>
      <c r="L1" t="s">
        <v>576</v>
      </c>
    </row>
    <row r="2" spans="1:12" x14ac:dyDescent="0.3">
      <c r="A2">
        <v>100</v>
      </c>
      <c r="B2" t="s">
        <v>23</v>
      </c>
      <c r="C2" t="s">
        <v>24</v>
      </c>
      <c r="D2" s="7">
        <v>45618</v>
      </c>
      <c r="E2" t="s">
        <v>26</v>
      </c>
      <c r="F2" t="s">
        <v>27</v>
      </c>
      <c r="G2">
        <v>3</v>
      </c>
      <c r="H2">
        <v>38</v>
      </c>
      <c r="I2" t="s">
        <v>28</v>
      </c>
      <c r="J2" t="s">
        <v>29</v>
      </c>
      <c r="K2">
        <v>114</v>
      </c>
      <c r="L2" t="s">
        <v>573</v>
      </c>
    </row>
    <row r="3" spans="1:12" x14ac:dyDescent="0.3">
      <c r="A3">
        <v>101</v>
      </c>
      <c r="B3" t="s">
        <v>30</v>
      </c>
      <c r="C3" t="s">
        <v>31</v>
      </c>
      <c r="D3" s="7">
        <v>45843</v>
      </c>
      <c r="E3" t="s">
        <v>32</v>
      </c>
      <c r="F3" t="s">
        <v>33</v>
      </c>
      <c r="G3">
        <v>2</v>
      </c>
      <c r="I3" t="s">
        <v>35</v>
      </c>
      <c r="J3" t="s">
        <v>36</v>
      </c>
      <c r="L3" t="s">
        <v>574</v>
      </c>
    </row>
    <row r="4" spans="1:12" x14ac:dyDescent="0.3">
      <c r="A4">
        <v>102</v>
      </c>
      <c r="B4" t="s">
        <v>37</v>
      </c>
      <c r="C4" t="s">
        <v>38</v>
      </c>
      <c r="D4" s="7">
        <v>45649</v>
      </c>
      <c r="E4" t="s">
        <v>40</v>
      </c>
      <c r="F4" t="s">
        <v>41</v>
      </c>
      <c r="G4">
        <v>1</v>
      </c>
      <c r="H4">
        <v>389.05</v>
      </c>
      <c r="I4" t="s">
        <v>35</v>
      </c>
      <c r="J4" t="s">
        <v>43</v>
      </c>
      <c r="K4">
        <v>389.05</v>
      </c>
      <c r="L4" t="s">
        <v>573</v>
      </c>
    </row>
    <row r="5" spans="1:12" x14ac:dyDescent="0.3">
      <c r="A5">
        <v>103</v>
      </c>
      <c r="B5" t="s">
        <v>44</v>
      </c>
      <c r="C5" t="s">
        <v>45</v>
      </c>
      <c r="D5" s="7">
        <v>45735</v>
      </c>
      <c r="E5" t="s">
        <v>47</v>
      </c>
      <c r="F5" t="s">
        <v>48</v>
      </c>
      <c r="G5">
        <v>5</v>
      </c>
      <c r="H5">
        <v>233.92</v>
      </c>
      <c r="I5" t="s">
        <v>35</v>
      </c>
      <c r="J5" t="s">
        <v>36</v>
      </c>
      <c r="K5">
        <v>1169.5999999999999</v>
      </c>
      <c r="L5" t="s">
        <v>573</v>
      </c>
    </row>
    <row r="6" spans="1:12" x14ac:dyDescent="0.3">
      <c r="A6">
        <v>104</v>
      </c>
      <c r="B6" t="s">
        <v>51</v>
      </c>
      <c r="C6" t="s">
        <v>52</v>
      </c>
      <c r="D6" s="7">
        <v>45950</v>
      </c>
      <c r="E6" t="s">
        <v>54</v>
      </c>
      <c r="F6" t="s">
        <v>48</v>
      </c>
      <c r="G6">
        <v>1</v>
      </c>
      <c r="H6">
        <v>552.51</v>
      </c>
      <c r="I6" t="s">
        <v>28</v>
      </c>
      <c r="J6" t="s">
        <v>36</v>
      </c>
      <c r="K6">
        <v>552.51</v>
      </c>
      <c r="L6" t="s">
        <v>573</v>
      </c>
    </row>
    <row r="7" spans="1:12" x14ac:dyDescent="0.3">
      <c r="A7">
        <v>105</v>
      </c>
      <c r="B7" t="s">
        <v>56</v>
      </c>
      <c r="C7" t="s">
        <v>57</v>
      </c>
      <c r="D7" s="7">
        <v>45616</v>
      </c>
      <c r="E7" t="s">
        <v>40</v>
      </c>
      <c r="F7" t="s">
        <v>41</v>
      </c>
      <c r="G7">
        <v>3</v>
      </c>
      <c r="H7">
        <v>122.06</v>
      </c>
      <c r="I7" t="s">
        <v>28</v>
      </c>
      <c r="J7" t="s">
        <v>60</v>
      </c>
      <c r="K7">
        <v>366.18</v>
      </c>
      <c r="L7" t="s">
        <v>573</v>
      </c>
    </row>
    <row r="8" spans="1:12" x14ac:dyDescent="0.3">
      <c r="A8">
        <v>106</v>
      </c>
      <c r="B8" t="s">
        <v>62</v>
      </c>
      <c r="C8" t="s">
        <v>63</v>
      </c>
      <c r="D8" s="7">
        <v>45690</v>
      </c>
      <c r="E8" t="s">
        <v>26</v>
      </c>
      <c r="F8" t="s">
        <v>27</v>
      </c>
      <c r="H8">
        <v>978.63</v>
      </c>
      <c r="I8" t="s">
        <v>65</v>
      </c>
      <c r="J8" t="s">
        <v>36</v>
      </c>
      <c r="L8" t="s">
        <v>574</v>
      </c>
    </row>
    <row r="9" spans="1:12" x14ac:dyDescent="0.3">
      <c r="A9">
        <v>107</v>
      </c>
      <c r="B9" t="s">
        <v>66</v>
      </c>
      <c r="C9" t="s">
        <v>67</v>
      </c>
      <c r="D9" s="7">
        <v>45660</v>
      </c>
      <c r="E9" t="s">
        <v>54</v>
      </c>
      <c r="F9" t="s">
        <v>48</v>
      </c>
      <c r="G9">
        <v>5</v>
      </c>
      <c r="H9">
        <v>587.67999999999995</v>
      </c>
      <c r="I9" t="s">
        <v>35</v>
      </c>
      <c r="J9" t="s">
        <v>69</v>
      </c>
      <c r="K9">
        <v>2938.4</v>
      </c>
      <c r="L9" t="s">
        <v>573</v>
      </c>
    </row>
    <row r="10" spans="1:12" x14ac:dyDescent="0.3">
      <c r="A10">
        <v>108</v>
      </c>
      <c r="B10" t="s">
        <v>71</v>
      </c>
      <c r="C10" t="s">
        <v>72</v>
      </c>
      <c r="D10" s="7">
        <v>45953</v>
      </c>
      <c r="E10" t="s">
        <v>47</v>
      </c>
      <c r="F10" t="s">
        <v>48</v>
      </c>
      <c r="G10">
        <v>1</v>
      </c>
      <c r="H10">
        <v>600.29</v>
      </c>
      <c r="I10" t="s">
        <v>28</v>
      </c>
      <c r="J10" t="s">
        <v>36</v>
      </c>
      <c r="K10">
        <v>600.29</v>
      </c>
      <c r="L10" t="s">
        <v>573</v>
      </c>
    </row>
    <row r="11" spans="1:12" x14ac:dyDescent="0.3">
      <c r="A11">
        <v>109</v>
      </c>
      <c r="B11" t="s">
        <v>75</v>
      </c>
      <c r="C11" t="s">
        <v>76</v>
      </c>
      <c r="D11" s="7">
        <v>45780</v>
      </c>
      <c r="E11" t="s">
        <v>40</v>
      </c>
      <c r="F11" t="s">
        <v>41</v>
      </c>
      <c r="G11">
        <v>5</v>
      </c>
      <c r="H11">
        <v>168.34</v>
      </c>
      <c r="I11" t="s">
        <v>78</v>
      </c>
      <c r="J11" t="s">
        <v>29</v>
      </c>
      <c r="K11">
        <v>841.7</v>
      </c>
      <c r="L11" t="s">
        <v>573</v>
      </c>
    </row>
    <row r="12" spans="1:12" x14ac:dyDescent="0.3">
      <c r="A12">
        <v>110</v>
      </c>
      <c r="B12" t="s">
        <v>80</v>
      </c>
      <c r="C12" t="s">
        <v>81</v>
      </c>
      <c r="D12" s="7">
        <v>45926</v>
      </c>
      <c r="E12" t="s">
        <v>83</v>
      </c>
      <c r="F12" t="s">
        <v>41</v>
      </c>
      <c r="G12">
        <v>5</v>
      </c>
      <c r="I12" t="s">
        <v>28</v>
      </c>
      <c r="J12" t="s">
        <v>60</v>
      </c>
      <c r="L12" t="s">
        <v>574</v>
      </c>
    </row>
    <row r="13" spans="1:12" x14ac:dyDescent="0.3">
      <c r="A13">
        <v>111</v>
      </c>
      <c r="B13" t="s">
        <v>86</v>
      </c>
      <c r="C13" t="s">
        <v>87</v>
      </c>
      <c r="D13" s="7">
        <v>45952</v>
      </c>
      <c r="E13" t="s">
        <v>89</v>
      </c>
      <c r="F13" t="s">
        <v>48</v>
      </c>
      <c r="G13">
        <v>2</v>
      </c>
      <c r="H13">
        <v>865.77</v>
      </c>
      <c r="I13" t="s">
        <v>78</v>
      </c>
      <c r="J13" t="s">
        <v>69</v>
      </c>
      <c r="K13">
        <v>1731.54</v>
      </c>
      <c r="L13" t="s">
        <v>573</v>
      </c>
    </row>
    <row r="14" spans="1:12" x14ac:dyDescent="0.3">
      <c r="A14">
        <v>112</v>
      </c>
      <c r="B14" t="s">
        <v>92</v>
      </c>
      <c r="C14" t="s">
        <v>93</v>
      </c>
      <c r="D14" s="7">
        <v>45718</v>
      </c>
      <c r="E14" t="s">
        <v>94</v>
      </c>
      <c r="F14" t="s">
        <v>95</v>
      </c>
      <c r="G14">
        <v>4</v>
      </c>
      <c r="H14">
        <v>752.13</v>
      </c>
      <c r="I14" t="s">
        <v>65</v>
      </c>
      <c r="J14" t="s">
        <v>43</v>
      </c>
      <c r="K14">
        <v>3008.52</v>
      </c>
      <c r="L14" t="s">
        <v>573</v>
      </c>
    </row>
    <row r="15" spans="1:12" x14ac:dyDescent="0.3">
      <c r="A15">
        <v>113</v>
      </c>
      <c r="B15" t="s">
        <v>98</v>
      </c>
      <c r="C15" t="s">
        <v>99</v>
      </c>
      <c r="D15" s="7">
        <v>45862</v>
      </c>
      <c r="E15" t="s">
        <v>101</v>
      </c>
      <c r="F15" t="s">
        <v>48</v>
      </c>
      <c r="G15">
        <v>1</v>
      </c>
      <c r="H15">
        <v>411.81</v>
      </c>
      <c r="I15" t="s">
        <v>78</v>
      </c>
      <c r="J15" t="s">
        <v>36</v>
      </c>
      <c r="K15">
        <v>411.81</v>
      </c>
      <c r="L15" t="s">
        <v>573</v>
      </c>
    </row>
    <row r="16" spans="1:12" x14ac:dyDescent="0.3">
      <c r="A16">
        <v>114</v>
      </c>
      <c r="B16" t="s">
        <v>103</v>
      </c>
      <c r="C16" t="s">
        <v>104</v>
      </c>
      <c r="D16" s="2">
        <v>44931</v>
      </c>
      <c r="E16" t="s">
        <v>32</v>
      </c>
      <c r="F16" t="s">
        <v>33</v>
      </c>
      <c r="G16">
        <v>2</v>
      </c>
      <c r="H16">
        <v>413.13</v>
      </c>
      <c r="I16" t="s">
        <v>28</v>
      </c>
      <c r="J16" t="s">
        <v>29</v>
      </c>
      <c r="K16">
        <v>826.26</v>
      </c>
      <c r="L16" t="s">
        <v>573</v>
      </c>
    </row>
    <row r="17" spans="1:12" x14ac:dyDescent="0.3">
      <c r="A17">
        <v>115</v>
      </c>
      <c r="B17" t="s">
        <v>108</v>
      </c>
      <c r="C17" t="s">
        <v>109</v>
      </c>
      <c r="D17" s="7">
        <v>45667</v>
      </c>
      <c r="E17" t="s">
        <v>101</v>
      </c>
      <c r="F17" t="s">
        <v>48</v>
      </c>
      <c r="G17">
        <v>2</v>
      </c>
      <c r="H17">
        <v>796.84</v>
      </c>
      <c r="I17" t="s">
        <v>28</v>
      </c>
      <c r="J17" t="s">
        <v>69</v>
      </c>
      <c r="K17">
        <v>1115.576</v>
      </c>
      <c r="L17" t="s">
        <v>575</v>
      </c>
    </row>
    <row r="18" spans="1:12" x14ac:dyDescent="0.3">
      <c r="A18">
        <v>116</v>
      </c>
      <c r="B18" t="s">
        <v>112</v>
      </c>
      <c r="C18" t="s">
        <v>113</v>
      </c>
      <c r="D18" s="7">
        <v>45960</v>
      </c>
      <c r="E18" t="s">
        <v>115</v>
      </c>
      <c r="F18" t="s">
        <v>27</v>
      </c>
      <c r="G18">
        <v>4</v>
      </c>
      <c r="I18" t="s">
        <v>28</v>
      </c>
      <c r="J18" t="s">
        <v>36</v>
      </c>
      <c r="L18" t="s">
        <v>574</v>
      </c>
    </row>
    <row r="19" spans="1:12" x14ac:dyDescent="0.3">
      <c r="A19">
        <v>117</v>
      </c>
      <c r="B19" t="s">
        <v>116</v>
      </c>
      <c r="C19" t="s">
        <v>117</v>
      </c>
      <c r="D19" s="7">
        <v>45700</v>
      </c>
      <c r="E19" t="s">
        <v>26</v>
      </c>
      <c r="F19" t="s">
        <v>33</v>
      </c>
      <c r="G19">
        <v>-2</v>
      </c>
      <c r="H19">
        <v>10000</v>
      </c>
      <c r="I19" t="s">
        <v>28</v>
      </c>
      <c r="J19" t="s">
        <v>36</v>
      </c>
      <c r="K19">
        <v>-20000</v>
      </c>
      <c r="L19" t="s">
        <v>573</v>
      </c>
    </row>
    <row r="20" spans="1:12" x14ac:dyDescent="0.3">
      <c r="A20">
        <v>118</v>
      </c>
      <c r="B20" t="s">
        <v>119</v>
      </c>
      <c r="C20" t="s">
        <v>120</v>
      </c>
      <c r="D20" s="7">
        <v>45808</v>
      </c>
      <c r="E20" t="s">
        <v>47</v>
      </c>
      <c r="F20" t="s">
        <v>48</v>
      </c>
      <c r="G20">
        <v>5</v>
      </c>
      <c r="H20">
        <v>247.82</v>
      </c>
      <c r="I20" t="s">
        <v>35</v>
      </c>
      <c r="J20" t="s">
        <v>36</v>
      </c>
      <c r="K20">
        <v>1239.0999999999999</v>
      </c>
      <c r="L20" t="s">
        <v>573</v>
      </c>
    </row>
    <row r="21" spans="1:12" x14ac:dyDescent="0.3">
      <c r="A21">
        <v>119</v>
      </c>
      <c r="B21" t="s">
        <v>124</v>
      </c>
      <c r="C21" t="s">
        <v>125</v>
      </c>
      <c r="D21" s="7">
        <v>45645</v>
      </c>
      <c r="E21" t="s">
        <v>83</v>
      </c>
      <c r="F21" t="s">
        <v>41</v>
      </c>
      <c r="G21">
        <v>4</v>
      </c>
      <c r="H21">
        <v>438.19</v>
      </c>
      <c r="I21" t="s">
        <v>28</v>
      </c>
      <c r="J21" t="s">
        <v>36</v>
      </c>
      <c r="K21">
        <v>1752.76</v>
      </c>
      <c r="L21" t="s">
        <v>573</v>
      </c>
    </row>
    <row r="22" spans="1:12" x14ac:dyDescent="0.3">
      <c r="A22">
        <v>120</v>
      </c>
      <c r="B22" t="s">
        <v>129</v>
      </c>
      <c r="C22" t="s">
        <v>130</v>
      </c>
      <c r="D22" s="7">
        <v>45821</v>
      </c>
      <c r="E22" t="s">
        <v>132</v>
      </c>
      <c r="F22" t="s">
        <v>33</v>
      </c>
      <c r="G22">
        <v>5</v>
      </c>
      <c r="H22">
        <v>300</v>
      </c>
      <c r="I22" t="s">
        <v>78</v>
      </c>
      <c r="J22" t="s">
        <v>60</v>
      </c>
      <c r="K22">
        <v>1500</v>
      </c>
      <c r="L22" t="s">
        <v>577</v>
      </c>
    </row>
    <row r="23" spans="1:12" x14ac:dyDescent="0.3">
      <c r="A23">
        <v>121</v>
      </c>
      <c r="B23" t="s">
        <v>135</v>
      </c>
      <c r="C23" t="s">
        <v>136</v>
      </c>
      <c r="D23" s="7">
        <v>45941</v>
      </c>
      <c r="E23" t="s">
        <v>83</v>
      </c>
      <c r="F23" t="s">
        <v>41</v>
      </c>
      <c r="G23">
        <v>4</v>
      </c>
      <c r="H23">
        <v>523.01</v>
      </c>
      <c r="I23" t="s">
        <v>78</v>
      </c>
      <c r="J23" t="s">
        <v>43</v>
      </c>
      <c r="K23">
        <v>2092.04</v>
      </c>
      <c r="L23" t="s">
        <v>573</v>
      </c>
    </row>
    <row r="24" spans="1:12" x14ac:dyDescent="0.3">
      <c r="A24">
        <v>122</v>
      </c>
      <c r="B24" t="s">
        <v>139</v>
      </c>
      <c r="C24" t="s">
        <v>140</v>
      </c>
      <c r="D24" s="7">
        <v>45793</v>
      </c>
      <c r="E24" t="s">
        <v>115</v>
      </c>
      <c r="F24" t="s">
        <v>27</v>
      </c>
      <c r="G24">
        <v>2</v>
      </c>
      <c r="H24">
        <v>556.92999999999995</v>
      </c>
      <c r="I24" t="s">
        <v>35</v>
      </c>
      <c r="J24" t="s">
        <v>29</v>
      </c>
      <c r="K24">
        <v>1113.8599999999999</v>
      </c>
      <c r="L24" t="s">
        <v>573</v>
      </c>
    </row>
    <row r="25" spans="1:12" x14ac:dyDescent="0.3">
      <c r="A25">
        <v>123</v>
      </c>
      <c r="B25" t="s">
        <v>144</v>
      </c>
      <c r="C25" t="s">
        <v>145</v>
      </c>
      <c r="D25" s="7">
        <v>45936</v>
      </c>
      <c r="E25" t="s">
        <v>146</v>
      </c>
      <c r="F25" t="s">
        <v>33</v>
      </c>
      <c r="G25">
        <v>3</v>
      </c>
      <c r="H25">
        <v>615.91</v>
      </c>
      <c r="I25" t="s">
        <v>28</v>
      </c>
      <c r="J25" t="s">
        <v>60</v>
      </c>
      <c r="K25">
        <v>1847.73</v>
      </c>
      <c r="L25" t="s">
        <v>573</v>
      </c>
    </row>
    <row r="26" spans="1:12" x14ac:dyDescent="0.3">
      <c r="A26">
        <v>124</v>
      </c>
      <c r="B26" t="s">
        <v>149</v>
      </c>
      <c r="C26" t="s">
        <v>150</v>
      </c>
      <c r="D26" s="7">
        <v>45808</v>
      </c>
      <c r="E26" t="s">
        <v>89</v>
      </c>
      <c r="F26" t="s">
        <v>48</v>
      </c>
      <c r="G26">
        <v>5</v>
      </c>
      <c r="I26" t="s">
        <v>35</v>
      </c>
      <c r="J26" t="s">
        <v>60</v>
      </c>
      <c r="L26" t="s">
        <v>574</v>
      </c>
    </row>
    <row r="27" spans="1:12" x14ac:dyDescent="0.3">
      <c r="A27">
        <v>125</v>
      </c>
      <c r="B27" t="s">
        <v>151</v>
      </c>
      <c r="C27" t="s">
        <v>152</v>
      </c>
      <c r="D27" s="7">
        <v>45697</v>
      </c>
      <c r="E27" t="s">
        <v>89</v>
      </c>
      <c r="F27" t="s">
        <v>48</v>
      </c>
      <c r="G27">
        <v>4</v>
      </c>
      <c r="H27">
        <v>765.69</v>
      </c>
      <c r="I27" t="s">
        <v>35</v>
      </c>
      <c r="J27" t="s">
        <v>29</v>
      </c>
      <c r="K27">
        <v>3062.76</v>
      </c>
      <c r="L27" t="s">
        <v>573</v>
      </c>
    </row>
    <row r="28" spans="1:12" x14ac:dyDescent="0.3">
      <c r="A28">
        <v>126</v>
      </c>
      <c r="B28" t="s">
        <v>155</v>
      </c>
      <c r="C28" t="s">
        <v>156</v>
      </c>
      <c r="D28" s="7">
        <v>45795</v>
      </c>
      <c r="E28" t="s">
        <v>94</v>
      </c>
      <c r="F28" t="s">
        <v>95</v>
      </c>
      <c r="G28">
        <v>4</v>
      </c>
      <c r="H28">
        <v>836.8</v>
      </c>
      <c r="I28" t="s">
        <v>65</v>
      </c>
      <c r="J28" t="s">
        <v>60</v>
      </c>
      <c r="K28">
        <v>3347.2</v>
      </c>
      <c r="L28" t="s">
        <v>573</v>
      </c>
    </row>
    <row r="29" spans="1:12" x14ac:dyDescent="0.3">
      <c r="A29">
        <v>127</v>
      </c>
      <c r="B29" t="s">
        <v>160</v>
      </c>
      <c r="C29" t="s">
        <v>161</v>
      </c>
      <c r="D29" s="7">
        <v>45789</v>
      </c>
      <c r="E29" t="s">
        <v>26</v>
      </c>
      <c r="F29" t="s">
        <v>27</v>
      </c>
      <c r="G29">
        <v>5</v>
      </c>
      <c r="H29">
        <v>336.02</v>
      </c>
      <c r="I29" t="s">
        <v>65</v>
      </c>
      <c r="J29" t="s">
        <v>69</v>
      </c>
      <c r="K29">
        <v>1680.1</v>
      </c>
      <c r="L29" t="s">
        <v>573</v>
      </c>
    </row>
    <row r="30" spans="1:12" x14ac:dyDescent="0.3">
      <c r="A30">
        <v>128</v>
      </c>
      <c r="B30" t="s">
        <v>164</v>
      </c>
      <c r="C30" t="s">
        <v>165</v>
      </c>
      <c r="D30" s="7">
        <v>45606</v>
      </c>
      <c r="E30" t="s">
        <v>166</v>
      </c>
      <c r="F30" t="s">
        <v>33</v>
      </c>
      <c r="G30">
        <v>3</v>
      </c>
      <c r="H30">
        <v>898.69</v>
      </c>
      <c r="I30" t="s">
        <v>65</v>
      </c>
      <c r="J30" t="s">
        <v>43</v>
      </c>
      <c r="K30">
        <v>2696.07</v>
      </c>
      <c r="L30" t="s">
        <v>573</v>
      </c>
    </row>
    <row r="31" spans="1:12" x14ac:dyDescent="0.3">
      <c r="A31">
        <v>129</v>
      </c>
      <c r="B31" t="s">
        <v>170</v>
      </c>
      <c r="C31" t="s">
        <v>171</v>
      </c>
      <c r="D31" s="7">
        <v>45830</v>
      </c>
      <c r="E31" t="s">
        <v>47</v>
      </c>
      <c r="F31" t="s">
        <v>48</v>
      </c>
      <c r="G31">
        <v>4</v>
      </c>
      <c r="H31">
        <v>736.71</v>
      </c>
      <c r="I31" t="s">
        <v>65</v>
      </c>
      <c r="J31" t="s">
        <v>69</v>
      </c>
      <c r="K31">
        <v>2946.84</v>
      </c>
      <c r="L31" t="s">
        <v>573</v>
      </c>
    </row>
    <row r="32" spans="1:12" x14ac:dyDescent="0.3">
      <c r="A32">
        <v>130</v>
      </c>
      <c r="B32" t="s">
        <v>175</v>
      </c>
      <c r="C32" t="s">
        <v>176</v>
      </c>
      <c r="D32" s="7">
        <v>45884</v>
      </c>
      <c r="E32" t="s">
        <v>40</v>
      </c>
      <c r="F32" t="s">
        <v>41</v>
      </c>
      <c r="G32">
        <v>2</v>
      </c>
      <c r="I32" t="s">
        <v>65</v>
      </c>
      <c r="J32" t="s">
        <v>36</v>
      </c>
      <c r="L32" t="s">
        <v>574</v>
      </c>
    </row>
    <row r="33" spans="1:12" x14ac:dyDescent="0.3">
      <c r="A33">
        <v>131</v>
      </c>
      <c r="B33" t="s">
        <v>178</v>
      </c>
      <c r="C33" t="s">
        <v>179</v>
      </c>
      <c r="D33" s="7">
        <v>45819</v>
      </c>
      <c r="E33" t="s">
        <v>166</v>
      </c>
      <c r="F33" t="s">
        <v>27</v>
      </c>
      <c r="G33">
        <v>5</v>
      </c>
      <c r="H33">
        <v>616.63</v>
      </c>
      <c r="I33" t="s">
        <v>35</v>
      </c>
      <c r="J33" t="s">
        <v>29</v>
      </c>
      <c r="K33">
        <v>3083.15</v>
      </c>
      <c r="L33" t="s">
        <v>573</v>
      </c>
    </row>
    <row r="34" spans="1:12" x14ac:dyDescent="0.3">
      <c r="A34">
        <v>132</v>
      </c>
      <c r="B34" t="s">
        <v>182</v>
      </c>
      <c r="C34" t="s">
        <v>183</v>
      </c>
      <c r="D34" s="7">
        <v>45749</v>
      </c>
      <c r="E34" t="s">
        <v>132</v>
      </c>
      <c r="F34" t="s">
        <v>33</v>
      </c>
      <c r="G34">
        <v>1</v>
      </c>
      <c r="H34">
        <v>266.7</v>
      </c>
      <c r="I34" t="s">
        <v>35</v>
      </c>
      <c r="J34" t="s">
        <v>43</v>
      </c>
      <c r="K34">
        <v>266.7</v>
      </c>
      <c r="L34" t="s">
        <v>573</v>
      </c>
    </row>
    <row r="35" spans="1:12" x14ac:dyDescent="0.3">
      <c r="A35">
        <v>133</v>
      </c>
      <c r="B35" t="s">
        <v>185</v>
      </c>
      <c r="C35" t="s">
        <v>186</v>
      </c>
      <c r="D35" s="7">
        <v>45631</v>
      </c>
      <c r="E35" t="s">
        <v>54</v>
      </c>
      <c r="G35">
        <v>5</v>
      </c>
      <c r="H35">
        <v>343.24</v>
      </c>
      <c r="I35" t="s">
        <v>78</v>
      </c>
      <c r="J35" t="s">
        <v>29</v>
      </c>
      <c r="K35">
        <v>1716.2</v>
      </c>
      <c r="L35" t="s">
        <v>573</v>
      </c>
    </row>
    <row r="36" spans="1:12" x14ac:dyDescent="0.3">
      <c r="A36">
        <v>134</v>
      </c>
      <c r="B36" t="s">
        <v>190</v>
      </c>
      <c r="C36" t="s">
        <v>191</v>
      </c>
      <c r="D36" s="7">
        <v>45934</v>
      </c>
      <c r="E36" t="s">
        <v>192</v>
      </c>
      <c r="F36" t="s">
        <v>95</v>
      </c>
      <c r="G36">
        <v>-5</v>
      </c>
      <c r="H36">
        <v>591.53</v>
      </c>
      <c r="I36" t="s">
        <v>35</v>
      </c>
      <c r="J36" t="s">
        <v>29</v>
      </c>
      <c r="K36">
        <v>-2957.65</v>
      </c>
      <c r="L36" t="s">
        <v>573</v>
      </c>
    </row>
    <row r="37" spans="1:12" x14ac:dyDescent="0.3">
      <c r="A37">
        <v>135</v>
      </c>
      <c r="B37" t="s">
        <v>195</v>
      </c>
      <c r="C37" t="s">
        <v>196</v>
      </c>
      <c r="D37" s="7">
        <v>45697</v>
      </c>
      <c r="E37" t="s">
        <v>197</v>
      </c>
      <c r="F37" t="s">
        <v>33</v>
      </c>
      <c r="G37">
        <v>4</v>
      </c>
      <c r="H37">
        <v>446.19</v>
      </c>
      <c r="I37" t="s">
        <v>28</v>
      </c>
      <c r="J37" t="s">
        <v>60</v>
      </c>
      <c r="K37">
        <v>1784.76</v>
      </c>
      <c r="L37" t="s">
        <v>573</v>
      </c>
    </row>
    <row r="38" spans="1:12" x14ac:dyDescent="0.3">
      <c r="A38">
        <v>136</v>
      </c>
      <c r="B38" t="s">
        <v>200</v>
      </c>
      <c r="C38" t="s">
        <v>201</v>
      </c>
      <c r="D38" s="7">
        <v>45820</v>
      </c>
      <c r="E38" t="s">
        <v>202</v>
      </c>
      <c r="G38">
        <v>1</v>
      </c>
      <c r="H38">
        <v>696.71</v>
      </c>
      <c r="I38" t="s">
        <v>78</v>
      </c>
      <c r="J38" t="s">
        <v>43</v>
      </c>
      <c r="K38">
        <v>696.71</v>
      </c>
      <c r="L38" t="s">
        <v>573</v>
      </c>
    </row>
    <row r="39" spans="1:12" x14ac:dyDescent="0.3">
      <c r="A39">
        <v>137</v>
      </c>
      <c r="B39" t="s">
        <v>204</v>
      </c>
      <c r="C39" t="s">
        <v>205</v>
      </c>
      <c r="D39" s="7">
        <v>45711</v>
      </c>
      <c r="E39" t="s">
        <v>146</v>
      </c>
      <c r="F39" t="s">
        <v>27</v>
      </c>
      <c r="G39">
        <v>3</v>
      </c>
      <c r="H39">
        <v>-100</v>
      </c>
      <c r="I39" t="s">
        <v>28</v>
      </c>
      <c r="J39" t="s">
        <v>43</v>
      </c>
      <c r="K39">
        <v>-300</v>
      </c>
      <c r="L39" t="s">
        <v>573</v>
      </c>
    </row>
    <row r="40" spans="1:12" x14ac:dyDescent="0.3">
      <c r="A40">
        <v>138</v>
      </c>
      <c r="B40" t="s">
        <v>207</v>
      </c>
      <c r="C40" t="s">
        <v>208</v>
      </c>
      <c r="D40" s="7">
        <v>45878</v>
      </c>
      <c r="E40" t="s">
        <v>166</v>
      </c>
      <c r="F40" t="s">
        <v>27</v>
      </c>
      <c r="G40">
        <v>1</v>
      </c>
      <c r="H40">
        <v>531.05999999999995</v>
      </c>
      <c r="I40" t="s">
        <v>35</v>
      </c>
      <c r="J40" t="s">
        <v>36</v>
      </c>
      <c r="K40">
        <v>531.05999999999995</v>
      </c>
      <c r="L40" t="s">
        <v>573</v>
      </c>
    </row>
    <row r="41" spans="1:12" x14ac:dyDescent="0.3">
      <c r="A41">
        <v>139</v>
      </c>
      <c r="B41" t="s">
        <v>210</v>
      </c>
      <c r="C41" t="s">
        <v>211</v>
      </c>
      <c r="D41" s="7">
        <v>45697</v>
      </c>
      <c r="E41" t="s">
        <v>32</v>
      </c>
      <c r="F41" t="s">
        <v>33</v>
      </c>
      <c r="G41">
        <v>2</v>
      </c>
      <c r="H41">
        <v>681.38</v>
      </c>
      <c r="I41" t="s">
        <v>78</v>
      </c>
      <c r="J41" t="s">
        <v>60</v>
      </c>
      <c r="K41">
        <v>1362.76</v>
      </c>
      <c r="L41" t="s">
        <v>573</v>
      </c>
    </row>
    <row r="42" spans="1:12" x14ac:dyDescent="0.3">
      <c r="A42">
        <v>140</v>
      </c>
      <c r="B42" t="s">
        <v>214</v>
      </c>
      <c r="C42" t="s">
        <v>215</v>
      </c>
      <c r="D42" s="7">
        <v>45714</v>
      </c>
      <c r="E42" t="s">
        <v>101</v>
      </c>
      <c r="F42" t="s">
        <v>48</v>
      </c>
      <c r="G42">
        <v>4</v>
      </c>
      <c r="H42">
        <v>588.98</v>
      </c>
      <c r="I42" t="s">
        <v>78</v>
      </c>
      <c r="J42" t="s">
        <v>69</v>
      </c>
      <c r="K42">
        <v>2355.92</v>
      </c>
      <c r="L42" t="s">
        <v>573</v>
      </c>
    </row>
    <row r="43" spans="1:12" x14ac:dyDescent="0.3">
      <c r="A43">
        <v>141</v>
      </c>
      <c r="B43" t="s">
        <v>219</v>
      </c>
      <c r="C43" t="s">
        <v>220</v>
      </c>
      <c r="D43" s="7">
        <v>45701</v>
      </c>
      <c r="E43" t="s">
        <v>101</v>
      </c>
      <c r="F43" t="s">
        <v>48</v>
      </c>
      <c r="G43">
        <v>3</v>
      </c>
      <c r="H43">
        <v>546.04</v>
      </c>
      <c r="I43" t="s">
        <v>28</v>
      </c>
      <c r="J43" t="s">
        <v>69</v>
      </c>
      <c r="K43">
        <v>1638.12</v>
      </c>
      <c r="L43" t="s">
        <v>573</v>
      </c>
    </row>
    <row r="44" spans="1:12" x14ac:dyDescent="0.3">
      <c r="A44">
        <v>142</v>
      </c>
      <c r="B44" t="s">
        <v>224</v>
      </c>
      <c r="C44" t="s">
        <v>225</v>
      </c>
      <c r="D44" s="7">
        <v>45960</v>
      </c>
      <c r="E44" t="s">
        <v>94</v>
      </c>
      <c r="F44" t="s">
        <v>95</v>
      </c>
      <c r="G44">
        <v>5</v>
      </c>
      <c r="H44">
        <v>645.26</v>
      </c>
      <c r="I44" t="s">
        <v>78</v>
      </c>
      <c r="J44" t="s">
        <v>29</v>
      </c>
      <c r="K44">
        <v>3226.3</v>
      </c>
      <c r="L44" t="s">
        <v>573</v>
      </c>
    </row>
    <row r="45" spans="1:12" x14ac:dyDescent="0.3">
      <c r="A45">
        <v>143</v>
      </c>
      <c r="B45" t="s">
        <v>228</v>
      </c>
      <c r="C45" t="s">
        <v>229</v>
      </c>
      <c r="D45" s="7">
        <v>45849</v>
      </c>
      <c r="E45" t="s">
        <v>192</v>
      </c>
      <c r="F45" t="s">
        <v>95</v>
      </c>
      <c r="G45">
        <v>5</v>
      </c>
      <c r="H45">
        <v>826.77</v>
      </c>
      <c r="I45" t="s">
        <v>65</v>
      </c>
      <c r="J45" t="s">
        <v>60</v>
      </c>
      <c r="K45">
        <v>4133.8500000000004</v>
      </c>
      <c r="L45" t="s">
        <v>573</v>
      </c>
    </row>
    <row r="46" spans="1:12" x14ac:dyDescent="0.3">
      <c r="A46">
        <v>144</v>
      </c>
      <c r="B46" t="s">
        <v>232</v>
      </c>
      <c r="C46" t="s">
        <v>233</v>
      </c>
      <c r="D46" s="7">
        <v>45684</v>
      </c>
      <c r="E46" t="s">
        <v>235</v>
      </c>
      <c r="F46" t="s">
        <v>41</v>
      </c>
      <c r="G46">
        <v>5</v>
      </c>
      <c r="H46">
        <v>849.07</v>
      </c>
      <c r="I46" t="s">
        <v>65</v>
      </c>
      <c r="J46" t="s">
        <v>36</v>
      </c>
      <c r="K46">
        <v>4245.3500000000004</v>
      </c>
      <c r="L46" t="s">
        <v>573</v>
      </c>
    </row>
    <row r="47" spans="1:12" x14ac:dyDescent="0.3">
      <c r="A47">
        <v>145</v>
      </c>
      <c r="B47" t="s">
        <v>238</v>
      </c>
      <c r="C47" t="s">
        <v>239</v>
      </c>
      <c r="D47" s="7">
        <v>45047</v>
      </c>
      <c r="E47" t="s">
        <v>240</v>
      </c>
      <c r="F47" t="s">
        <v>33</v>
      </c>
      <c r="G47">
        <v>2</v>
      </c>
      <c r="H47">
        <v>860.99</v>
      </c>
      <c r="I47" t="s">
        <v>65</v>
      </c>
      <c r="J47" t="s">
        <v>69</v>
      </c>
      <c r="K47">
        <v>1721.98</v>
      </c>
      <c r="L47" t="s">
        <v>573</v>
      </c>
    </row>
    <row r="48" spans="1:12" x14ac:dyDescent="0.3">
      <c r="A48">
        <v>146</v>
      </c>
      <c r="B48" t="s">
        <v>243</v>
      </c>
      <c r="C48" t="s">
        <v>244</v>
      </c>
      <c r="D48" s="7">
        <v>45847</v>
      </c>
      <c r="E48" t="s">
        <v>83</v>
      </c>
      <c r="F48" t="s">
        <v>33</v>
      </c>
      <c r="G48">
        <v>2</v>
      </c>
      <c r="H48">
        <v>705.42</v>
      </c>
      <c r="I48" t="s">
        <v>65</v>
      </c>
      <c r="J48" t="s">
        <v>36</v>
      </c>
      <c r="K48">
        <v>1410.84</v>
      </c>
      <c r="L48" t="s">
        <v>573</v>
      </c>
    </row>
    <row r="49" spans="1:12" x14ac:dyDescent="0.3">
      <c r="A49">
        <v>147</v>
      </c>
      <c r="B49" t="s">
        <v>247</v>
      </c>
      <c r="C49" t="s">
        <v>248</v>
      </c>
      <c r="D49" s="7">
        <v>45778</v>
      </c>
      <c r="E49" t="s">
        <v>249</v>
      </c>
      <c r="F49" t="s">
        <v>95</v>
      </c>
      <c r="G49">
        <v>4</v>
      </c>
      <c r="H49">
        <v>596.15</v>
      </c>
      <c r="I49" t="s">
        <v>28</v>
      </c>
      <c r="J49" t="s">
        <v>29</v>
      </c>
      <c r="K49">
        <v>2384.6</v>
      </c>
      <c r="L49" t="s">
        <v>573</v>
      </c>
    </row>
    <row r="50" spans="1:12" x14ac:dyDescent="0.3">
      <c r="A50">
        <v>148</v>
      </c>
      <c r="B50" t="s">
        <v>252</v>
      </c>
      <c r="C50" t="s">
        <v>253</v>
      </c>
      <c r="D50" s="7">
        <v>45729</v>
      </c>
      <c r="E50" t="s">
        <v>40</v>
      </c>
      <c r="F50" t="s">
        <v>41</v>
      </c>
      <c r="G50">
        <v>1</v>
      </c>
      <c r="H50">
        <v>660.98</v>
      </c>
      <c r="I50" t="s">
        <v>28</v>
      </c>
      <c r="J50" t="s">
        <v>69</v>
      </c>
      <c r="K50">
        <v>660.98</v>
      </c>
      <c r="L50" t="s">
        <v>573</v>
      </c>
    </row>
    <row r="51" spans="1:12" x14ac:dyDescent="0.3">
      <c r="A51">
        <v>149</v>
      </c>
      <c r="B51" t="s">
        <v>256</v>
      </c>
      <c r="C51" t="s">
        <v>257</v>
      </c>
      <c r="D51" s="7">
        <v>45837</v>
      </c>
      <c r="E51" t="s">
        <v>89</v>
      </c>
      <c r="F51" t="s">
        <v>48</v>
      </c>
      <c r="G51">
        <v>5</v>
      </c>
      <c r="H51">
        <v>896.38</v>
      </c>
      <c r="I51" t="s">
        <v>65</v>
      </c>
      <c r="J51" t="s">
        <v>60</v>
      </c>
      <c r="K51">
        <v>4481.8999999999996</v>
      </c>
      <c r="L51" t="s">
        <v>573</v>
      </c>
    </row>
    <row r="52" spans="1:12" x14ac:dyDescent="0.3">
      <c r="A52">
        <v>150</v>
      </c>
      <c r="B52" t="s">
        <v>261</v>
      </c>
      <c r="C52" t="s">
        <v>262</v>
      </c>
      <c r="D52" s="7">
        <v>45623</v>
      </c>
      <c r="E52" t="s">
        <v>132</v>
      </c>
      <c r="F52" t="s">
        <v>41</v>
      </c>
      <c r="G52">
        <v>1</v>
      </c>
      <c r="H52">
        <v>206.19</v>
      </c>
      <c r="I52" t="s">
        <v>78</v>
      </c>
      <c r="J52" t="s">
        <v>69</v>
      </c>
      <c r="K52">
        <v>206.19</v>
      </c>
      <c r="L52" t="s">
        <v>573</v>
      </c>
    </row>
    <row r="53" spans="1:12" x14ac:dyDescent="0.3">
      <c r="A53">
        <v>151</v>
      </c>
      <c r="B53" t="s">
        <v>265</v>
      </c>
      <c r="C53" t="s">
        <v>266</v>
      </c>
      <c r="D53" s="7">
        <v>45839</v>
      </c>
      <c r="E53" t="s">
        <v>89</v>
      </c>
      <c r="F53" t="s">
        <v>48</v>
      </c>
      <c r="G53">
        <v>2</v>
      </c>
      <c r="H53">
        <v>457.16</v>
      </c>
      <c r="I53" t="s">
        <v>35</v>
      </c>
      <c r="J53" t="s">
        <v>36</v>
      </c>
      <c r="K53">
        <v>640.024</v>
      </c>
      <c r="L53" t="s">
        <v>575</v>
      </c>
    </row>
    <row r="54" spans="1:12" x14ac:dyDescent="0.3">
      <c r="A54">
        <v>152</v>
      </c>
      <c r="B54" t="s">
        <v>269</v>
      </c>
      <c r="C54" t="s">
        <v>270</v>
      </c>
      <c r="D54" s="7">
        <v>45922</v>
      </c>
      <c r="E54" t="s">
        <v>166</v>
      </c>
      <c r="F54" t="s">
        <v>27</v>
      </c>
      <c r="G54">
        <v>3</v>
      </c>
      <c r="H54">
        <v>233.11</v>
      </c>
      <c r="I54" t="s">
        <v>35</v>
      </c>
      <c r="J54" t="s">
        <v>69</v>
      </c>
      <c r="K54">
        <v>699.33</v>
      </c>
      <c r="L54" t="s">
        <v>573</v>
      </c>
    </row>
    <row r="55" spans="1:12" x14ac:dyDescent="0.3">
      <c r="A55">
        <v>153</v>
      </c>
      <c r="B55" t="s">
        <v>274</v>
      </c>
      <c r="C55" t="s">
        <v>275</v>
      </c>
      <c r="D55" s="7">
        <v>45854</v>
      </c>
      <c r="E55" t="s">
        <v>132</v>
      </c>
      <c r="F55" t="s">
        <v>41</v>
      </c>
      <c r="G55">
        <v>4</v>
      </c>
      <c r="H55">
        <v>278.89999999999998</v>
      </c>
      <c r="I55" t="s">
        <v>28</v>
      </c>
      <c r="J55" t="s">
        <v>36</v>
      </c>
      <c r="K55">
        <v>1115.5999999999999</v>
      </c>
      <c r="L55" t="s">
        <v>573</v>
      </c>
    </row>
    <row r="56" spans="1:12" x14ac:dyDescent="0.3">
      <c r="A56">
        <v>154</v>
      </c>
      <c r="B56" t="s">
        <v>279</v>
      </c>
      <c r="C56" t="s">
        <v>280</v>
      </c>
      <c r="D56" s="7">
        <v>45709</v>
      </c>
      <c r="E56" t="s">
        <v>26</v>
      </c>
      <c r="F56" t="s">
        <v>27</v>
      </c>
      <c r="G56">
        <v>5</v>
      </c>
      <c r="H56">
        <v>789.64</v>
      </c>
      <c r="I56" t="s">
        <v>28</v>
      </c>
      <c r="J56" t="s">
        <v>60</v>
      </c>
      <c r="K56">
        <v>3948.2</v>
      </c>
      <c r="L56" t="s">
        <v>573</v>
      </c>
    </row>
    <row r="57" spans="1:12" x14ac:dyDescent="0.3">
      <c r="A57">
        <v>155</v>
      </c>
      <c r="B57" t="s">
        <v>284</v>
      </c>
      <c r="C57" t="s">
        <v>285</v>
      </c>
      <c r="D57" s="7">
        <v>45778</v>
      </c>
      <c r="E57" t="s">
        <v>94</v>
      </c>
      <c r="F57" t="s">
        <v>95</v>
      </c>
      <c r="G57">
        <v>1</v>
      </c>
      <c r="H57">
        <v>40.950000000000003</v>
      </c>
      <c r="I57" t="s">
        <v>35</v>
      </c>
      <c r="J57" t="s">
        <v>69</v>
      </c>
      <c r="K57">
        <v>40.950000000000003</v>
      </c>
      <c r="L57" t="s">
        <v>573</v>
      </c>
    </row>
    <row r="58" spans="1:12" x14ac:dyDescent="0.3">
      <c r="A58">
        <v>156</v>
      </c>
      <c r="B58" t="s">
        <v>288</v>
      </c>
      <c r="C58" t="s">
        <v>289</v>
      </c>
      <c r="D58" s="7">
        <v>45624</v>
      </c>
      <c r="E58" t="s">
        <v>291</v>
      </c>
      <c r="F58" t="s">
        <v>95</v>
      </c>
      <c r="G58">
        <v>2</v>
      </c>
      <c r="I58" t="s">
        <v>65</v>
      </c>
      <c r="J58" t="s">
        <v>29</v>
      </c>
      <c r="L58" t="s">
        <v>574</v>
      </c>
    </row>
    <row r="59" spans="1:12" x14ac:dyDescent="0.3">
      <c r="A59">
        <v>157</v>
      </c>
      <c r="B59" t="s">
        <v>292</v>
      </c>
      <c r="C59" t="s">
        <v>293</v>
      </c>
      <c r="D59" s="7">
        <v>45967</v>
      </c>
      <c r="E59" t="s">
        <v>249</v>
      </c>
      <c r="F59" t="s">
        <v>95</v>
      </c>
      <c r="G59">
        <v>4</v>
      </c>
      <c r="H59">
        <v>275.10000000000002</v>
      </c>
      <c r="I59" t="s">
        <v>65</v>
      </c>
      <c r="J59" t="s">
        <v>36</v>
      </c>
      <c r="K59">
        <v>1100.4000000000001</v>
      </c>
      <c r="L59" t="s">
        <v>573</v>
      </c>
    </row>
    <row r="60" spans="1:12" x14ac:dyDescent="0.3">
      <c r="A60">
        <v>158</v>
      </c>
      <c r="B60" t="s">
        <v>296</v>
      </c>
      <c r="C60" t="s">
        <v>297</v>
      </c>
      <c r="D60" s="7">
        <v>45752</v>
      </c>
      <c r="E60" t="s">
        <v>197</v>
      </c>
      <c r="F60" t="s">
        <v>33</v>
      </c>
      <c r="G60">
        <v>1</v>
      </c>
      <c r="H60">
        <v>933.58</v>
      </c>
      <c r="I60" t="s">
        <v>28</v>
      </c>
      <c r="J60" t="s">
        <v>29</v>
      </c>
      <c r="K60">
        <v>933.58</v>
      </c>
      <c r="L60" t="s">
        <v>573</v>
      </c>
    </row>
    <row r="61" spans="1:12" x14ac:dyDescent="0.3">
      <c r="A61">
        <v>159</v>
      </c>
      <c r="B61" t="s">
        <v>299</v>
      </c>
      <c r="C61" t="s">
        <v>300</v>
      </c>
      <c r="D61" s="7">
        <v>45866</v>
      </c>
      <c r="E61" t="s">
        <v>115</v>
      </c>
      <c r="F61" t="s">
        <v>27</v>
      </c>
      <c r="G61">
        <v>3</v>
      </c>
      <c r="H61">
        <v>163.16</v>
      </c>
      <c r="I61" t="s">
        <v>35</v>
      </c>
      <c r="J61" t="s">
        <v>29</v>
      </c>
      <c r="K61">
        <v>489.48</v>
      </c>
      <c r="L61" t="s">
        <v>573</v>
      </c>
    </row>
    <row r="62" spans="1:12" x14ac:dyDescent="0.3">
      <c r="A62">
        <v>160</v>
      </c>
      <c r="B62" t="s">
        <v>304</v>
      </c>
      <c r="C62" t="s">
        <v>305</v>
      </c>
      <c r="D62" s="7">
        <v>45660</v>
      </c>
      <c r="E62" t="s">
        <v>47</v>
      </c>
      <c r="F62" t="s">
        <v>48</v>
      </c>
      <c r="G62">
        <v>5</v>
      </c>
      <c r="H62">
        <v>242.52</v>
      </c>
      <c r="I62" t="s">
        <v>28</v>
      </c>
      <c r="J62" t="s">
        <v>69</v>
      </c>
      <c r="K62">
        <v>1212.5999999999999</v>
      </c>
      <c r="L62" t="s">
        <v>573</v>
      </c>
    </row>
    <row r="63" spans="1:12" x14ac:dyDescent="0.3">
      <c r="A63">
        <v>161</v>
      </c>
      <c r="B63" t="s">
        <v>308</v>
      </c>
      <c r="C63" t="s">
        <v>309</v>
      </c>
      <c r="D63" s="7">
        <v>45641</v>
      </c>
      <c r="E63" t="s">
        <v>47</v>
      </c>
      <c r="F63" t="s">
        <v>48</v>
      </c>
      <c r="G63">
        <v>4</v>
      </c>
      <c r="H63">
        <v>209.32</v>
      </c>
      <c r="I63" t="s">
        <v>65</v>
      </c>
      <c r="J63" t="s">
        <v>29</v>
      </c>
      <c r="K63">
        <v>837.28</v>
      </c>
      <c r="L63" t="s">
        <v>573</v>
      </c>
    </row>
    <row r="64" spans="1:12" x14ac:dyDescent="0.3">
      <c r="A64">
        <v>162</v>
      </c>
      <c r="B64" t="s">
        <v>313</v>
      </c>
      <c r="C64" t="s">
        <v>314</v>
      </c>
      <c r="D64" s="7">
        <v>45796</v>
      </c>
      <c r="E64" t="s">
        <v>26</v>
      </c>
      <c r="F64" t="s">
        <v>27</v>
      </c>
      <c r="G64">
        <v>2</v>
      </c>
      <c r="H64">
        <v>155.76</v>
      </c>
      <c r="I64" t="s">
        <v>78</v>
      </c>
      <c r="J64" t="s">
        <v>69</v>
      </c>
      <c r="K64">
        <v>311.52</v>
      </c>
      <c r="L64" t="s">
        <v>573</v>
      </c>
    </row>
    <row r="65" spans="1:12" x14ac:dyDescent="0.3">
      <c r="A65">
        <v>163</v>
      </c>
      <c r="B65" t="s">
        <v>318</v>
      </c>
      <c r="C65" t="s">
        <v>319</v>
      </c>
      <c r="D65" s="7">
        <v>44931</v>
      </c>
      <c r="E65" t="s">
        <v>197</v>
      </c>
      <c r="F65" t="s">
        <v>33</v>
      </c>
      <c r="G65">
        <v>3</v>
      </c>
      <c r="H65">
        <v>235.26</v>
      </c>
      <c r="I65" t="s">
        <v>28</v>
      </c>
      <c r="J65" t="s">
        <v>29</v>
      </c>
      <c r="K65">
        <v>705.78</v>
      </c>
      <c r="L65" t="s">
        <v>573</v>
      </c>
    </row>
    <row r="66" spans="1:12" x14ac:dyDescent="0.3">
      <c r="A66">
        <v>164</v>
      </c>
      <c r="B66" t="s">
        <v>322</v>
      </c>
      <c r="C66" t="s">
        <v>323</v>
      </c>
      <c r="D66" s="7">
        <v>45697</v>
      </c>
      <c r="E66" t="s">
        <v>40</v>
      </c>
      <c r="F66" t="s">
        <v>41</v>
      </c>
      <c r="H66">
        <v>587.64</v>
      </c>
      <c r="I66" t="s">
        <v>78</v>
      </c>
      <c r="J66" t="s">
        <v>69</v>
      </c>
      <c r="L66" t="s">
        <v>574</v>
      </c>
    </row>
    <row r="67" spans="1:12" x14ac:dyDescent="0.3">
      <c r="A67">
        <v>165</v>
      </c>
      <c r="B67" t="s">
        <v>325</v>
      </c>
      <c r="C67" t="s">
        <v>326</v>
      </c>
      <c r="D67" s="7">
        <v>45604</v>
      </c>
      <c r="E67" t="s">
        <v>94</v>
      </c>
      <c r="F67" t="s">
        <v>95</v>
      </c>
      <c r="G67">
        <v>2</v>
      </c>
      <c r="H67">
        <v>443.13</v>
      </c>
      <c r="I67" t="s">
        <v>78</v>
      </c>
      <c r="J67" t="s">
        <v>43</v>
      </c>
      <c r="K67">
        <v>886.26</v>
      </c>
      <c r="L67" t="s">
        <v>573</v>
      </c>
    </row>
    <row r="68" spans="1:12" x14ac:dyDescent="0.3">
      <c r="A68">
        <v>166</v>
      </c>
      <c r="B68" t="s">
        <v>329</v>
      </c>
      <c r="C68" t="s">
        <v>330</v>
      </c>
      <c r="D68" s="7">
        <v>45841</v>
      </c>
      <c r="E68" t="s">
        <v>192</v>
      </c>
      <c r="F68" t="s">
        <v>33</v>
      </c>
      <c r="G68">
        <v>2</v>
      </c>
      <c r="H68">
        <v>569.38</v>
      </c>
      <c r="I68" t="s">
        <v>28</v>
      </c>
      <c r="J68" t="s">
        <v>29</v>
      </c>
      <c r="K68">
        <v>1138.76</v>
      </c>
      <c r="L68" t="s">
        <v>573</v>
      </c>
    </row>
    <row r="69" spans="1:12" x14ac:dyDescent="0.3">
      <c r="A69">
        <v>167</v>
      </c>
      <c r="B69" t="s">
        <v>333</v>
      </c>
      <c r="C69" t="s">
        <v>334</v>
      </c>
      <c r="D69" s="7">
        <v>45876</v>
      </c>
      <c r="E69" t="s">
        <v>83</v>
      </c>
      <c r="F69" t="s">
        <v>41</v>
      </c>
      <c r="H69">
        <v>593.92999999999995</v>
      </c>
      <c r="I69" t="s">
        <v>28</v>
      </c>
      <c r="J69" t="s">
        <v>36</v>
      </c>
      <c r="L69" t="s">
        <v>574</v>
      </c>
    </row>
    <row r="70" spans="1:12" x14ac:dyDescent="0.3">
      <c r="A70">
        <v>168</v>
      </c>
      <c r="B70" t="s">
        <v>336</v>
      </c>
      <c r="C70" t="s">
        <v>337</v>
      </c>
      <c r="D70" s="7">
        <v>45965</v>
      </c>
      <c r="E70" t="s">
        <v>54</v>
      </c>
      <c r="F70" t="s">
        <v>48</v>
      </c>
      <c r="G70">
        <v>2</v>
      </c>
      <c r="H70">
        <v>141.49</v>
      </c>
      <c r="I70" t="s">
        <v>35</v>
      </c>
      <c r="J70" t="s">
        <v>60</v>
      </c>
      <c r="K70">
        <v>282.98</v>
      </c>
      <c r="L70" t="s">
        <v>573</v>
      </c>
    </row>
    <row r="71" spans="1:12" x14ac:dyDescent="0.3">
      <c r="A71">
        <v>169</v>
      </c>
      <c r="B71" t="s">
        <v>340</v>
      </c>
      <c r="C71" t="s">
        <v>341</v>
      </c>
      <c r="D71" s="7">
        <v>45881</v>
      </c>
      <c r="E71" t="s">
        <v>83</v>
      </c>
      <c r="F71" t="s">
        <v>41</v>
      </c>
      <c r="G71">
        <v>1</v>
      </c>
      <c r="H71">
        <v>582.13</v>
      </c>
      <c r="I71" t="s">
        <v>78</v>
      </c>
      <c r="J71" t="s">
        <v>69</v>
      </c>
      <c r="K71">
        <v>582.13</v>
      </c>
      <c r="L71" t="s">
        <v>573</v>
      </c>
    </row>
    <row r="72" spans="1:12" x14ac:dyDescent="0.3">
      <c r="A72">
        <v>170</v>
      </c>
      <c r="B72" t="s">
        <v>343</v>
      </c>
      <c r="C72" t="s">
        <v>344</v>
      </c>
      <c r="D72" s="7">
        <v>45933</v>
      </c>
      <c r="E72" t="s">
        <v>291</v>
      </c>
      <c r="F72" t="s">
        <v>95</v>
      </c>
      <c r="G72">
        <v>5</v>
      </c>
      <c r="H72">
        <v>741.63</v>
      </c>
      <c r="I72" t="s">
        <v>65</v>
      </c>
      <c r="J72" t="s">
        <v>36</v>
      </c>
      <c r="K72">
        <v>3708.15</v>
      </c>
      <c r="L72" t="s">
        <v>573</v>
      </c>
    </row>
    <row r="73" spans="1:12" x14ac:dyDescent="0.3">
      <c r="A73">
        <v>171</v>
      </c>
      <c r="B73" t="s">
        <v>347</v>
      </c>
      <c r="C73" t="s">
        <v>348</v>
      </c>
      <c r="D73" s="7">
        <v>45632</v>
      </c>
      <c r="E73" t="s">
        <v>94</v>
      </c>
      <c r="F73" t="s">
        <v>95</v>
      </c>
      <c r="G73">
        <v>3</v>
      </c>
      <c r="H73">
        <v>688.68</v>
      </c>
      <c r="I73" t="s">
        <v>35</v>
      </c>
      <c r="J73" t="s">
        <v>36</v>
      </c>
      <c r="K73">
        <v>2066.04</v>
      </c>
      <c r="L73" t="s">
        <v>573</v>
      </c>
    </row>
    <row r="74" spans="1:12" x14ac:dyDescent="0.3">
      <c r="A74">
        <v>172</v>
      </c>
      <c r="B74" t="s">
        <v>351</v>
      </c>
      <c r="C74" t="s">
        <v>352</v>
      </c>
      <c r="D74" s="7">
        <v>45614</v>
      </c>
      <c r="E74" t="s">
        <v>89</v>
      </c>
      <c r="F74" t="s">
        <v>48</v>
      </c>
      <c r="G74">
        <v>2</v>
      </c>
      <c r="H74">
        <v>942.76</v>
      </c>
      <c r="I74" t="s">
        <v>65</v>
      </c>
      <c r="J74" t="s">
        <v>69</v>
      </c>
      <c r="K74">
        <v>1885.52</v>
      </c>
      <c r="L74" t="s">
        <v>573</v>
      </c>
    </row>
    <row r="75" spans="1:12" x14ac:dyDescent="0.3">
      <c r="A75">
        <v>173</v>
      </c>
      <c r="B75" t="s">
        <v>356</v>
      </c>
      <c r="C75" t="s">
        <v>357</v>
      </c>
      <c r="D75" s="7">
        <v>45941</v>
      </c>
      <c r="E75" t="s">
        <v>166</v>
      </c>
      <c r="F75" t="s">
        <v>27</v>
      </c>
      <c r="G75">
        <v>5</v>
      </c>
      <c r="H75">
        <v>351.89</v>
      </c>
      <c r="I75" t="s">
        <v>78</v>
      </c>
      <c r="J75" t="s">
        <v>29</v>
      </c>
      <c r="K75">
        <v>1759.45</v>
      </c>
      <c r="L75" t="s">
        <v>573</v>
      </c>
    </row>
    <row r="76" spans="1:12" x14ac:dyDescent="0.3">
      <c r="A76">
        <v>174</v>
      </c>
      <c r="B76" t="s">
        <v>360</v>
      </c>
      <c r="C76" t="s">
        <v>361</v>
      </c>
      <c r="D76" s="7">
        <v>45920</v>
      </c>
      <c r="E76" t="s">
        <v>115</v>
      </c>
      <c r="F76" t="s">
        <v>33</v>
      </c>
      <c r="G76">
        <v>4</v>
      </c>
      <c r="H76">
        <v>187.48</v>
      </c>
      <c r="I76" t="s">
        <v>78</v>
      </c>
      <c r="J76" t="s">
        <v>69</v>
      </c>
      <c r="K76">
        <v>749.92</v>
      </c>
      <c r="L76" t="s">
        <v>573</v>
      </c>
    </row>
    <row r="77" spans="1:12" x14ac:dyDescent="0.3">
      <c r="A77">
        <v>175</v>
      </c>
      <c r="B77" t="s">
        <v>365</v>
      </c>
      <c r="C77" t="s">
        <v>366</v>
      </c>
      <c r="D77" s="7">
        <v>45712</v>
      </c>
      <c r="E77" t="s">
        <v>202</v>
      </c>
      <c r="F77" t="s">
        <v>33</v>
      </c>
      <c r="G77">
        <v>1</v>
      </c>
      <c r="H77">
        <v>111.36</v>
      </c>
      <c r="I77" t="s">
        <v>78</v>
      </c>
      <c r="J77" t="s">
        <v>36</v>
      </c>
      <c r="K77">
        <v>111.36</v>
      </c>
      <c r="L77" t="s">
        <v>573</v>
      </c>
    </row>
    <row r="78" spans="1:12" x14ac:dyDescent="0.3">
      <c r="A78">
        <v>176</v>
      </c>
      <c r="B78" t="s">
        <v>369</v>
      </c>
      <c r="C78" t="s">
        <v>370</v>
      </c>
      <c r="D78" s="7">
        <v>45860</v>
      </c>
      <c r="E78" t="s">
        <v>89</v>
      </c>
      <c r="F78" t="s">
        <v>48</v>
      </c>
      <c r="G78">
        <v>5</v>
      </c>
      <c r="H78">
        <v>530.52</v>
      </c>
      <c r="I78" t="s">
        <v>28</v>
      </c>
      <c r="J78" t="s">
        <v>29</v>
      </c>
      <c r="K78">
        <v>2652.6</v>
      </c>
      <c r="L78" t="s">
        <v>573</v>
      </c>
    </row>
    <row r="79" spans="1:12" x14ac:dyDescent="0.3">
      <c r="A79">
        <v>177</v>
      </c>
      <c r="B79" t="s">
        <v>374</v>
      </c>
      <c r="C79" t="s">
        <v>375</v>
      </c>
      <c r="D79" s="7">
        <v>45866</v>
      </c>
      <c r="E79" t="s">
        <v>240</v>
      </c>
      <c r="F79" t="s">
        <v>33</v>
      </c>
      <c r="G79">
        <v>1</v>
      </c>
      <c r="H79">
        <v>69.48</v>
      </c>
      <c r="I79" t="s">
        <v>65</v>
      </c>
      <c r="J79" t="s">
        <v>69</v>
      </c>
      <c r="K79">
        <v>69.48</v>
      </c>
      <c r="L79" t="s">
        <v>573</v>
      </c>
    </row>
    <row r="80" spans="1:12" x14ac:dyDescent="0.3">
      <c r="A80">
        <v>178</v>
      </c>
      <c r="B80" t="s">
        <v>377</v>
      </c>
      <c r="C80" t="s">
        <v>378</v>
      </c>
      <c r="D80" s="7">
        <v>45918</v>
      </c>
      <c r="E80" t="s">
        <v>40</v>
      </c>
      <c r="F80" t="s">
        <v>41</v>
      </c>
      <c r="G80">
        <v>3</v>
      </c>
      <c r="H80">
        <v>472.14</v>
      </c>
      <c r="I80" t="s">
        <v>35</v>
      </c>
      <c r="J80" t="s">
        <v>69</v>
      </c>
      <c r="K80">
        <v>1416.42</v>
      </c>
      <c r="L80" t="s">
        <v>573</v>
      </c>
    </row>
    <row r="81" spans="1:12" x14ac:dyDescent="0.3">
      <c r="A81">
        <v>179</v>
      </c>
      <c r="B81" t="s">
        <v>382</v>
      </c>
      <c r="C81" t="s">
        <v>383</v>
      </c>
      <c r="D81" s="7">
        <v>45903</v>
      </c>
      <c r="E81" t="s">
        <v>132</v>
      </c>
      <c r="F81" t="s">
        <v>41</v>
      </c>
      <c r="G81">
        <v>3</v>
      </c>
      <c r="H81">
        <v>868.67</v>
      </c>
      <c r="I81" t="s">
        <v>35</v>
      </c>
      <c r="J81" t="s">
        <v>43</v>
      </c>
      <c r="K81">
        <v>2606.0100000000002</v>
      </c>
      <c r="L81" t="s">
        <v>573</v>
      </c>
    </row>
    <row r="82" spans="1:12" x14ac:dyDescent="0.3">
      <c r="A82">
        <v>180</v>
      </c>
      <c r="B82" t="s">
        <v>386</v>
      </c>
      <c r="C82" t="s">
        <v>387</v>
      </c>
      <c r="D82" s="7">
        <v>45742</v>
      </c>
      <c r="E82" t="s">
        <v>240</v>
      </c>
      <c r="G82">
        <v>2</v>
      </c>
      <c r="H82">
        <v>418.38</v>
      </c>
      <c r="I82" t="s">
        <v>78</v>
      </c>
      <c r="J82" t="s">
        <v>36</v>
      </c>
      <c r="K82">
        <v>836.76</v>
      </c>
      <c r="L82" t="s">
        <v>573</v>
      </c>
    </row>
    <row r="83" spans="1:12" x14ac:dyDescent="0.3">
      <c r="A83">
        <v>181</v>
      </c>
      <c r="B83" t="s">
        <v>391</v>
      </c>
      <c r="C83" t="s">
        <v>392</v>
      </c>
      <c r="D83" s="7">
        <v>45655</v>
      </c>
      <c r="E83" t="s">
        <v>32</v>
      </c>
      <c r="G83">
        <v>1</v>
      </c>
      <c r="H83">
        <v>266.48</v>
      </c>
      <c r="I83" t="s">
        <v>28</v>
      </c>
      <c r="J83" t="s">
        <v>60</v>
      </c>
      <c r="K83">
        <v>266.48</v>
      </c>
      <c r="L83" t="s">
        <v>573</v>
      </c>
    </row>
    <row r="84" spans="1:12" x14ac:dyDescent="0.3">
      <c r="A84">
        <v>182</v>
      </c>
      <c r="B84" t="s">
        <v>395</v>
      </c>
      <c r="C84" t="s">
        <v>396</v>
      </c>
      <c r="D84" s="7">
        <v>45872</v>
      </c>
      <c r="E84" t="s">
        <v>94</v>
      </c>
      <c r="G84">
        <v>4</v>
      </c>
      <c r="H84">
        <v>538.35</v>
      </c>
      <c r="I84" t="s">
        <v>35</v>
      </c>
      <c r="J84" t="s">
        <v>36</v>
      </c>
      <c r="K84">
        <v>2153.4</v>
      </c>
      <c r="L84" t="s">
        <v>573</v>
      </c>
    </row>
    <row r="85" spans="1:12" x14ac:dyDescent="0.3">
      <c r="A85">
        <v>183</v>
      </c>
      <c r="B85" t="s">
        <v>399</v>
      </c>
      <c r="C85" t="s">
        <v>400</v>
      </c>
      <c r="D85" s="7">
        <v>45726</v>
      </c>
      <c r="E85" t="s">
        <v>94</v>
      </c>
      <c r="F85" t="s">
        <v>95</v>
      </c>
      <c r="G85">
        <v>5</v>
      </c>
      <c r="I85" t="s">
        <v>28</v>
      </c>
      <c r="J85" t="s">
        <v>69</v>
      </c>
      <c r="L85" t="s">
        <v>574</v>
      </c>
    </row>
    <row r="86" spans="1:12" x14ac:dyDescent="0.3">
      <c r="A86">
        <v>184</v>
      </c>
      <c r="B86" t="s">
        <v>401</v>
      </c>
      <c r="C86" t="s">
        <v>402</v>
      </c>
      <c r="D86" s="7">
        <v>45703</v>
      </c>
      <c r="E86" t="s">
        <v>291</v>
      </c>
      <c r="G86">
        <v>4</v>
      </c>
      <c r="H86">
        <v>101.19</v>
      </c>
      <c r="I86" t="s">
        <v>65</v>
      </c>
      <c r="J86" t="s">
        <v>36</v>
      </c>
      <c r="K86">
        <v>404.76</v>
      </c>
      <c r="L86" t="s">
        <v>573</v>
      </c>
    </row>
    <row r="87" spans="1:12" x14ac:dyDescent="0.3">
      <c r="A87">
        <v>185</v>
      </c>
      <c r="B87" t="s">
        <v>406</v>
      </c>
      <c r="C87" t="s">
        <v>407</v>
      </c>
      <c r="D87" s="7">
        <v>45883</v>
      </c>
      <c r="E87" t="s">
        <v>235</v>
      </c>
      <c r="F87" t="s">
        <v>41</v>
      </c>
      <c r="G87">
        <v>2</v>
      </c>
      <c r="H87">
        <v>730.92</v>
      </c>
      <c r="I87" t="s">
        <v>28</v>
      </c>
      <c r="J87" t="s">
        <v>60</v>
      </c>
      <c r="K87">
        <v>1023.288</v>
      </c>
      <c r="L87" t="s">
        <v>575</v>
      </c>
    </row>
    <row r="88" spans="1:12" x14ac:dyDescent="0.3">
      <c r="A88">
        <v>186</v>
      </c>
      <c r="B88" t="s">
        <v>411</v>
      </c>
      <c r="C88" t="s">
        <v>412</v>
      </c>
      <c r="D88" s="7">
        <v>45936</v>
      </c>
      <c r="E88" t="s">
        <v>240</v>
      </c>
      <c r="F88" t="s">
        <v>33</v>
      </c>
      <c r="G88">
        <v>1</v>
      </c>
      <c r="H88">
        <v>365.34</v>
      </c>
      <c r="I88" t="s">
        <v>65</v>
      </c>
      <c r="J88" t="s">
        <v>43</v>
      </c>
      <c r="K88">
        <v>365.34</v>
      </c>
      <c r="L88" t="s">
        <v>573</v>
      </c>
    </row>
    <row r="89" spans="1:12" x14ac:dyDescent="0.3">
      <c r="A89">
        <v>187</v>
      </c>
      <c r="B89" t="s">
        <v>414</v>
      </c>
      <c r="C89" t="s">
        <v>415</v>
      </c>
      <c r="D89" s="7">
        <v>45615</v>
      </c>
      <c r="E89" t="s">
        <v>32</v>
      </c>
      <c r="F89" t="s">
        <v>33</v>
      </c>
      <c r="G89">
        <v>3</v>
      </c>
      <c r="H89">
        <v>882.96</v>
      </c>
      <c r="I89" t="s">
        <v>65</v>
      </c>
      <c r="J89" t="s">
        <v>69</v>
      </c>
      <c r="K89">
        <v>2648.88</v>
      </c>
      <c r="L89" t="s">
        <v>573</v>
      </c>
    </row>
    <row r="90" spans="1:12" x14ac:dyDescent="0.3">
      <c r="A90">
        <v>188</v>
      </c>
      <c r="B90" t="s">
        <v>419</v>
      </c>
      <c r="C90" t="s">
        <v>420</v>
      </c>
      <c r="D90" s="7">
        <v>45615</v>
      </c>
      <c r="E90" t="s">
        <v>115</v>
      </c>
      <c r="F90" t="s">
        <v>27</v>
      </c>
      <c r="G90">
        <v>5</v>
      </c>
      <c r="H90">
        <v>504.05</v>
      </c>
      <c r="I90" t="s">
        <v>28</v>
      </c>
      <c r="J90" t="s">
        <v>29</v>
      </c>
      <c r="K90">
        <v>2520.25</v>
      </c>
      <c r="L90" t="s">
        <v>573</v>
      </c>
    </row>
    <row r="91" spans="1:12" x14ac:dyDescent="0.3">
      <c r="A91">
        <v>189</v>
      </c>
      <c r="B91" t="s">
        <v>423</v>
      </c>
      <c r="C91" t="s">
        <v>424</v>
      </c>
      <c r="D91" s="7">
        <v>45883</v>
      </c>
      <c r="E91" t="s">
        <v>166</v>
      </c>
      <c r="F91" t="s">
        <v>27</v>
      </c>
      <c r="G91">
        <v>1</v>
      </c>
      <c r="H91">
        <v>814.68</v>
      </c>
      <c r="I91" t="s">
        <v>28</v>
      </c>
      <c r="J91" t="s">
        <v>69</v>
      </c>
      <c r="K91">
        <v>814.68</v>
      </c>
      <c r="L91" t="s">
        <v>573</v>
      </c>
    </row>
    <row r="92" spans="1:12" x14ac:dyDescent="0.3">
      <c r="A92">
        <v>190</v>
      </c>
      <c r="B92" t="s">
        <v>426</v>
      </c>
      <c r="C92" t="s">
        <v>427</v>
      </c>
      <c r="D92" s="7">
        <v>45837</v>
      </c>
      <c r="E92" t="s">
        <v>146</v>
      </c>
      <c r="F92" t="s">
        <v>27</v>
      </c>
      <c r="G92">
        <v>1</v>
      </c>
      <c r="H92">
        <v>920.37</v>
      </c>
      <c r="I92" t="s">
        <v>65</v>
      </c>
      <c r="J92" t="s">
        <v>36</v>
      </c>
      <c r="K92">
        <v>920.37</v>
      </c>
      <c r="L92" t="s">
        <v>573</v>
      </c>
    </row>
    <row r="93" spans="1:12" x14ac:dyDescent="0.3">
      <c r="A93">
        <v>191</v>
      </c>
      <c r="B93" t="s">
        <v>429</v>
      </c>
      <c r="C93" t="s">
        <v>430</v>
      </c>
      <c r="D93" s="7">
        <v>45856</v>
      </c>
      <c r="E93" t="s">
        <v>101</v>
      </c>
      <c r="F93" t="s">
        <v>48</v>
      </c>
      <c r="G93">
        <v>2</v>
      </c>
      <c r="H93">
        <v>881.02</v>
      </c>
      <c r="I93" t="s">
        <v>28</v>
      </c>
      <c r="J93" t="s">
        <v>69</v>
      </c>
      <c r="K93">
        <v>1762.04</v>
      </c>
      <c r="L93" t="s">
        <v>573</v>
      </c>
    </row>
    <row r="94" spans="1:12" x14ac:dyDescent="0.3">
      <c r="A94">
        <v>192</v>
      </c>
      <c r="B94" t="s">
        <v>434</v>
      </c>
      <c r="C94" t="s">
        <v>435</v>
      </c>
      <c r="D94" s="7"/>
      <c r="E94" t="s">
        <v>249</v>
      </c>
      <c r="F94" t="s">
        <v>95</v>
      </c>
      <c r="H94">
        <v>203.63</v>
      </c>
      <c r="I94" t="s">
        <v>78</v>
      </c>
      <c r="J94" t="s">
        <v>69</v>
      </c>
      <c r="L94" t="s">
        <v>574</v>
      </c>
    </row>
    <row r="95" spans="1:12" x14ac:dyDescent="0.3">
      <c r="A95">
        <v>193</v>
      </c>
      <c r="B95" t="s">
        <v>439</v>
      </c>
      <c r="C95" t="s">
        <v>440</v>
      </c>
      <c r="D95" s="7">
        <v>45814</v>
      </c>
      <c r="E95" t="s">
        <v>83</v>
      </c>
      <c r="H95">
        <v>522.02</v>
      </c>
      <c r="I95" t="s">
        <v>35</v>
      </c>
      <c r="J95" t="s">
        <v>29</v>
      </c>
      <c r="L95" t="s">
        <v>574</v>
      </c>
    </row>
    <row r="96" spans="1:12" x14ac:dyDescent="0.3">
      <c r="A96">
        <v>194</v>
      </c>
      <c r="B96" t="s">
        <v>442</v>
      </c>
      <c r="C96" t="s">
        <v>443</v>
      </c>
      <c r="D96" s="7">
        <v>45698</v>
      </c>
      <c r="E96" t="s">
        <v>166</v>
      </c>
      <c r="F96" t="s">
        <v>27</v>
      </c>
      <c r="G96">
        <v>5</v>
      </c>
      <c r="H96">
        <v>944.54</v>
      </c>
      <c r="I96" t="s">
        <v>28</v>
      </c>
      <c r="J96" t="s">
        <v>69</v>
      </c>
      <c r="K96">
        <v>4722.7</v>
      </c>
      <c r="L96" t="s">
        <v>573</v>
      </c>
    </row>
    <row r="97" spans="1:12" x14ac:dyDescent="0.3">
      <c r="A97">
        <v>195</v>
      </c>
      <c r="B97" t="s">
        <v>446</v>
      </c>
      <c r="C97" t="s">
        <v>447</v>
      </c>
      <c r="D97" s="7">
        <v>45827</v>
      </c>
      <c r="E97" t="s">
        <v>54</v>
      </c>
      <c r="F97" t="s">
        <v>48</v>
      </c>
      <c r="G97">
        <v>5</v>
      </c>
      <c r="H97">
        <v>817.46</v>
      </c>
      <c r="I97" t="s">
        <v>28</v>
      </c>
      <c r="J97" t="s">
        <v>69</v>
      </c>
      <c r="K97">
        <v>4087.3</v>
      </c>
      <c r="L97" t="s">
        <v>573</v>
      </c>
    </row>
    <row r="98" spans="1:12" x14ac:dyDescent="0.3">
      <c r="A98">
        <v>196</v>
      </c>
      <c r="B98" t="s">
        <v>451</v>
      </c>
      <c r="C98" t="s">
        <v>452</v>
      </c>
      <c r="D98" s="7">
        <v>45649</v>
      </c>
      <c r="E98" t="s">
        <v>146</v>
      </c>
      <c r="F98" t="s">
        <v>27</v>
      </c>
      <c r="I98" t="s">
        <v>35</v>
      </c>
      <c r="J98" t="s">
        <v>43</v>
      </c>
      <c r="L98" t="s">
        <v>574</v>
      </c>
    </row>
    <row r="99" spans="1:12" x14ac:dyDescent="0.3">
      <c r="A99">
        <v>197</v>
      </c>
      <c r="B99" t="s">
        <v>453</v>
      </c>
      <c r="C99" t="s">
        <v>454</v>
      </c>
      <c r="D99" s="7">
        <v>45831</v>
      </c>
      <c r="E99" t="s">
        <v>26</v>
      </c>
      <c r="F99" t="s">
        <v>27</v>
      </c>
      <c r="G99">
        <v>1</v>
      </c>
      <c r="H99">
        <v>160.16</v>
      </c>
      <c r="I99" t="s">
        <v>35</v>
      </c>
      <c r="J99" t="s">
        <v>60</v>
      </c>
      <c r="K99">
        <v>160.16</v>
      </c>
      <c r="L99" t="s">
        <v>573</v>
      </c>
    </row>
    <row r="100" spans="1:12" x14ac:dyDescent="0.3">
      <c r="A100">
        <v>198</v>
      </c>
      <c r="B100" t="s">
        <v>457</v>
      </c>
      <c r="C100" t="s">
        <v>458</v>
      </c>
      <c r="D100" s="7">
        <v>45865</v>
      </c>
      <c r="E100" t="s">
        <v>146</v>
      </c>
      <c r="G100">
        <v>2</v>
      </c>
      <c r="H100">
        <v>497.01</v>
      </c>
      <c r="I100" t="s">
        <v>28</v>
      </c>
      <c r="J100" t="s">
        <v>29</v>
      </c>
      <c r="K100">
        <v>994.02</v>
      </c>
      <c r="L100" t="s">
        <v>573</v>
      </c>
    </row>
    <row r="101" spans="1:12" x14ac:dyDescent="0.3">
      <c r="A101">
        <v>199</v>
      </c>
      <c r="B101" t="s">
        <v>462</v>
      </c>
      <c r="C101" t="s">
        <v>463</v>
      </c>
      <c r="D101" s="7">
        <v>45679</v>
      </c>
      <c r="E101" t="s">
        <v>26</v>
      </c>
      <c r="F101" t="s">
        <v>27</v>
      </c>
      <c r="G101">
        <v>5</v>
      </c>
      <c r="H101">
        <v>372.28</v>
      </c>
      <c r="I101" t="s">
        <v>78</v>
      </c>
      <c r="J101" t="s">
        <v>29</v>
      </c>
      <c r="K101">
        <v>1861.4</v>
      </c>
      <c r="L101" t="s">
        <v>573</v>
      </c>
    </row>
  </sheetData>
  <sortState xmlns:xlrd2="http://schemas.microsoft.com/office/spreadsheetml/2017/richdata2" ref="A2:L101">
    <sortCondition ref="A1:A101"/>
  </sortState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047BFAD-21BE-4ED1-AC63-9C640CE10EB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01_Raw</vt:lpstr>
      <vt:lpstr>02_Audit</vt:lpstr>
      <vt:lpstr>99_Reference_Formulas</vt:lpstr>
      <vt:lpstr>03_Clean_Formulas.</vt:lpstr>
      <vt:lpstr>05_Clean_PowerQuery</vt:lpstr>
      <vt:lpstr>04_Clean_Final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Frank Ruiz</dc:creator>
  <cp:lastModifiedBy>Frank Ruiz</cp:lastModifiedBy>
  <dcterms:created xsi:type="dcterms:W3CDTF">2026-07-22T00:48:46Z</dcterms:created>
  <dcterms:modified xsi:type="dcterms:W3CDTF">2026-07-22T09:42:47Z</dcterms:modified>
</cp:coreProperties>
</file>